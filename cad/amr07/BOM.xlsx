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概要" sheetId="1" state="visible" r:id="rId3"/>
    <sheet name="購入品" sheetId="2" state="visible" r:id="rId4"/>
    <sheet name="締結部品" sheetId="3" state="visible" r:id="rId5"/>
    <sheet name="製作品" sheetId="4" state="visible" r:id="rId6"/>
    <sheet name="未選定" sheetId="5" state="visible" r:id="rId7"/>
    <sheet name="CAD照合" sheetId="6" state="visible" r:id="rId8"/>
  </sheets>
  <definedNames>
    <definedName function="false" hidden="false" localSheetId="5" name="_xlnm.Print_Area" vbProcedure="false">CAD照合!$A$1:$E$226</definedName>
    <definedName function="false" hidden="false" localSheetId="5" name="_xlnm.Print_Titles" vbProcedure="false">CAD照合!$1:$4</definedName>
    <definedName function="false" hidden="true" localSheetId="5" name="_xlnm._FilterDatabase" vbProcedure="false">CAD照合!$A$4:$E$226</definedName>
    <definedName function="false" hidden="false" localSheetId="4" name="_xlnm.Print_Area" vbProcedure="false">未選定!$A$1:$F$24</definedName>
    <definedName function="false" hidden="false" localSheetId="4" name="_xlnm.Print_Titles" vbProcedure="false">未選定!$1:$4</definedName>
    <definedName function="false" hidden="true" localSheetId="4" name="_xlnm._FilterDatabase" vbProcedure="false">未選定!$A$4:$F$24</definedName>
    <definedName function="false" hidden="false" localSheetId="0" name="_xlnm.Print_Area" vbProcedure="false">概要!$A$1:$C$17</definedName>
    <definedName function="false" hidden="false" localSheetId="0" name="_xlnm.Print_Titles" vbProcedure="false">概要!$1:$4</definedName>
    <definedName function="false" hidden="true" localSheetId="0" name="_xlnm._FilterDatabase" vbProcedure="false">概要!$A$4:$C$17</definedName>
    <definedName function="false" hidden="false" localSheetId="2" name="_xlnm.Print_Area" vbProcedure="false">締結部品!$A$1:$F$19</definedName>
    <definedName function="false" hidden="false" localSheetId="2" name="_xlnm.Print_Titles" vbProcedure="false">締結部品!$1:$4</definedName>
    <definedName function="false" hidden="true" localSheetId="2" name="_xlnm._FilterDatabase" vbProcedure="false">締結部品!$A$4:$F$19</definedName>
    <definedName function="false" hidden="false" localSheetId="3" name="_xlnm.Print_Area" vbProcedure="false">製作品!$A$1:$H$13</definedName>
    <definedName function="false" hidden="false" localSheetId="3" name="_xlnm.Print_Titles" vbProcedure="false">製作品!$1:$4</definedName>
    <definedName function="false" hidden="true" localSheetId="3" name="_xlnm._FilterDatabase" vbProcedure="false">製作品!$A$4:$H$13</definedName>
    <definedName function="false" hidden="false" localSheetId="1" name="_xlnm.Print_Area" vbProcedure="false">購入品!$A$1:$K$44</definedName>
    <definedName function="false" hidden="false" localSheetId="1" name="_xlnm.Print_Titles" vbProcedure="false">購入品!$1:$4</definedName>
    <definedName function="false" hidden="true" localSheetId="1" name="_xlnm._FilterDatabase" vbProcedure="false">購入品!$A$4:$K$44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<sst xmlns="http://schemas.openxmlformats.org/spreadsheetml/2006/main" count="1701" uniqueCount="796">
  <si>
    <t xml:space="preserve">AMR-01 / A6　調達BOM</t>
  </si>
  <si>
    <t xml:space="preserve">2026-09-21 | 購入一覧・締結内訳・製作品・未選定品・CAD対応を収録</t>
  </si>
  <si>
    <t xml:space="preserve">項目</t>
  </si>
  <si>
    <t xml:space="preserve">値</t>
  </si>
  <si>
    <t xml:space="preserve">説明</t>
  </si>
  <si>
    <t xml:space="preserve">円の途中小計</t>
  </si>
  <si>
    <t xml:space="preserve">キャスターをナフコ店舗受取498円＋送料0円とする条件。受取店・在庫未確定。販売記録・仮枠・材料消費を含む。</t>
  </si>
  <si>
    <t xml:space="preserve">USDの途中小計</t>
  </si>
  <si>
    <t xml:space="preserve">金具2個75.02＋送料7.23。自動見積・手動審査前。</t>
  </si>
  <si>
    <t xml:space="preserve">完成車総額</t>
  </si>
  <si>
    <t xml:space="preserve">未確定</t>
  </si>
  <si>
    <t xml:space="preserve">電池・主計算機・配線・基板・税・送料等が未選定／未見積。通貨未換算。</t>
  </si>
  <si>
    <t xml:space="preserve">運用の設計条件</t>
  </si>
  <si>
    <t xml:space="preserve">平坦な屋内・通常積載10kg</t>
  </si>
  <si>
    <t xml:space="preserve">追加機械ブレーキなし。構造検証は荷物15kg、SF2目標。</t>
  </si>
  <si>
    <t xml:space="preserve">車体重量の推計</t>
  </si>
  <si>
    <t xml:space="preserve">電装枠を含むCAD推計、実測ではない。</t>
  </si>
  <si>
    <t xml:space="preserve">数量照合</t>
  </si>
  <si>
    <t xml:space="preserve">CAD物理形状を全件、費用行へ対応付け。予約形状は部品として数えない。</t>
  </si>
  <si>
    <t xml:space="preserve">小径座金の税訂正</t>
  </si>
  <si>
    <t xml:space="preserve">10枚×29円は税別。税込319円へ修正し、以前の途中小計から29円増。</t>
  </si>
  <si>
    <t xml:space="preserve">価格の確認範囲</t>
  </si>
  <si>
    <t xml:space="preserve">タイヤ・キャスター・座金・タイヤ送料を再確認</t>
  </si>
  <si>
    <t xml:space="preserve">Amazonは再取得できず既存価格。その他は2026-09-21等の既存記録・仮枠。</t>
  </si>
  <si>
    <t xml:space="preserve">使用数と購入数</t>
  </si>
  <si>
    <t xml:space="preserve">300mm材：2本使用／4本購入</t>
  </si>
  <si>
    <t xml:space="preserve">溝ナット50個＝SET付属16＋追加34。購入数未確定は空欄。</t>
  </si>
  <si>
    <t xml:space="preserve">編集方法</t>
  </si>
  <si>
    <t xml:space="preserve">購入品の口数・単価・金額を編集可能</t>
  </si>
  <si>
    <t xml:space="preserve">金額が空欄の行は未見積。一式仮枠は金額セルへ直接入力。継続変更はJSONへ反映。</t>
  </si>
  <si>
    <t xml:space="preserve">PLA</t>
  </si>
  <si>
    <t xml:space="preserve">手持ち300gの材料消費評価600円</t>
  </si>
  <si>
    <t xml:space="preserve">新規スプール購入額ではない。実スライス量・モック印刷費は未確定。</t>
  </si>
  <si>
    <t xml:space="preserve">部品表の範囲</t>
  </si>
  <si>
    <t xml:space="preserve">走行台車＋停止回路の部品候補</t>
  </si>
  <si>
    <t xml:space="preserve">自律移動用センサー・上位計算機一式まで価格確定したBOMではない。</t>
  </si>
  <si>
    <t xml:space="preserve">格子穴上板のCNC比較見積</t>
  </si>
  <si>
    <t xml:space="preserve">別資料、現行BOMには未加算</t>
  </si>
  <si>
    <t xml:space="preserve">300×300×4、50mmピッチ36穴。CNC品を採用する場合は板素材代と対象送料を置換し、重複加算しない。</t>
  </si>
  <si>
    <t xml:space="preserve">購入品・材料・送料</t>
  </si>
  <si>
    <t xml:space="preserve">明細金額だけを集計。製作品・締結詳細の金額を足さない。空欄＝未見積、0＝確認した無料条件など。</t>
  </si>
  <si>
    <t xml:space="preserve">ID</t>
  </si>
  <si>
    <t xml:space="preserve">品名・仕様</t>
  </si>
  <si>
    <t xml:space="preserve">使用数</t>
  </si>
  <si>
    <t xml:space="preserve">購入予定単位</t>
  </si>
  <si>
    <t xml:space="preserve">口数</t>
  </si>
  <si>
    <t xml:space="preserve">購入単位単価</t>
  </si>
  <si>
    <t xml:space="preserve">明細金額</t>
  </si>
  <si>
    <t xml:space="preserve">通貨</t>
  </si>
  <si>
    <t xml:space="preserve">根拠・選定状況</t>
  </si>
  <si>
    <t xml:space="preserve">出典</t>
  </si>
  <si>
    <t xml:space="preserve">備考</t>
  </si>
  <si>
    <t xml:space="preserve">F01</t>
  </si>
  <si>
    <t xml:space="preserve">3030フレーム 400mm
MISUMI NFSL6-3030-400</t>
  </si>
  <si>
    <t xml:space="preserve">4本</t>
  </si>
  <si>
    <t xml:space="preserve">4本組×1</t>
  </si>
  <si>
    <t xml:space="preserve">JPY</t>
  </si>
  <si>
    <t xml:space="preserve">過去価格の引継ぎ
型式選定済・価格引継ぎ</t>
  </si>
  <si>
    <t xml:space="preserve">参照を開く</t>
  </si>
  <si>
    <t xml:space="preserve">Amazon
Amazonの現価格は再取得できず。余り0本。</t>
  </si>
  <si>
    <t xml:space="preserve">F02</t>
  </si>
  <si>
    <t xml:space="preserve">3030フレーム 300mm
MISUMI NFSL6-3030-300</t>
  </si>
  <si>
    <t xml:space="preserve">2本</t>
  </si>
  <si>
    <t xml:space="preserve">Amazon
余り2本も購入費に含む。Amazonの現価格は再取得できず。</t>
  </si>
  <si>
    <t xml:space="preserve">F03</t>
  </si>
  <si>
    <t xml:space="preserve">純正接合ブラケットセット
HBLFSN6-SET：本体＋CBM6-12×2＋HNTT6-6×2</t>
  </si>
  <si>
    <t xml:space="preserve">8組</t>
  </si>
  <si>
    <t xml:space="preserve">1組×8</t>
  </si>
  <si>
    <t xml:space="preserve">カタログ参考
型式選定済・個人購入経路未確定</t>
  </si>
  <si>
    <t xml:space="preserve">MISUMI仕様参照／購入先未確定
合計M6×12と溝ナット各16個を同梱扱い。リンクは仕様参照で購入経路ではない。</t>
  </si>
  <si>
    <t xml:space="preserve">F04</t>
  </si>
  <si>
    <t xml:space="preserve">追加溝ナット・基礎部分
HNTT6-6</t>
  </si>
  <si>
    <t xml:space="preserve">28個</t>
  </si>
  <si>
    <t xml:space="preserve">販売単位未確認・必要28個</t>
  </si>
  <si>
    <t xml:space="preserve">予算枠
型式選定済・個人購入経路未確定</t>
  </si>
  <si>
    <t xml:space="preserve">MISUMI仕様参照／購入先未確定
車体合計50個＝SET付属16＋この28＋荷台6。荷台6個はDECK_fasteners_and_extra_slotnutsに計上。</t>
  </si>
  <si>
    <t xml:space="preserve">P03</t>
  </si>
  <si>
    <t xml:space="preserve">ガセット用アルミ板素材
A5052 t3、150×150mm相当</t>
  </si>
  <si>
    <t xml:space="preserve">1枚</t>
  </si>
  <si>
    <t xml:space="preserve">素材販売寸法・パック未確定</t>
  </si>
  <si>
    <t xml:space="preserve">予算枠
素材予算</t>
  </si>
  <si>
    <t xml:space="preserve">60×60直角三角ガセット4枚を製作。加工費・工具代別。</t>
  </si>
  <si>
    <t xml:space="preserve">C01</t>
  </si>
  <si>
    <t xml:space="preserve">自在キャスター
ハンマー420G-R50、径50・取付高65mm</t>
  </si>
  <si>
    <t xml:space="preserve">1個</t>
  </si>
  <si>
    <t xml:space="preserve">1個×1</t>
  </si>
  <si>
    <t xml:space="preserve">販売表示・条件付き
型式維持・個人購入の店舗受取を第一候補</t>
  </si>
  <si>
    <t xml:space="preserve">ナフコ（店舗受取）
完成品1個。税込498円＋店舗受取送料0円。受取店/在庫未確定、交通費別。ナフコ包装JANは2100256559029、受入時に420G-R50/高さ65/穴ピッチ46×35を照合。</t>
  </si>
  <si>
    <t xml:space="preserve">P01</t>
  </si>
  <si>
    <t xml:space="preserve">キャスター取付板の素材
A5052 t4、完成寸法80×170mm</t>
  </si>
  <si>
    <t xml:space="preserve">切出し素材の販売単位未確定</t>
  </si>
  <si>
    <t xml:space="preserve">板1枚の材料仮枠。穴加工・面取りは自加工、外注費未見積。</t>
  </si>
  <si>
    <t xml:space="preserve">D01</t>
  </si>
  <si>
    <t xml:space="preserve">ダイレクトドライブモーター
M0601C_111、ドライバ・エンコーダ内蔵</t>
  </si>
  <si>
    <t xml:space="preserve">2個</t>
  </si>
  <si>
    <t xml:space="preserve">本体1個×2（想定）</t>
  </si>
  <si>
    <t xml:space="preserve">ユーザー仮枠
型式固定・販売店SKU未確定</t>
  </si>
  <si>
    <t xml:space="preserve">Taobao／販売店未
確定</t>
  </si>
  <si>
    <t xml:space="preserve">7000円/個はユーザー提示の仮枠。タイヤ・付属線・輸入費は未照合。</t>
  </si>
  <si>
    <t xml:space="preserve">D02</t>
  </si>
  <si>
    <t xml:space="preserve">タイヤ・カバーキット
DDT-M0601C-TIRE、φ100.7×43mm</t>
  </si>
  <si>
    <t xml:space="preserve">2キット</t>
  </si>
  <si>
    <t xml:space="preserve">1キット×2</t>
  </si>
  <si>
    <t xml:space="preserve">販売表示・条件付き
型式選定済</t>
  </si>
  <si>
    <t xml:space="preserve">スイッチサイエンス
1キット＝タイヤ1＋カバー1＋ねじ3。モーター固定用M2.5×12とは別。Taobao付属一式が確認できた場合のみ別購入を見直す。</t>
  </si>
  <si>
    <t xml:space="preserve">Q01</t>
  </si>
  <si>
    <t xml:space="preserve">A6-R1専用モーター金具
A6061-T6、90×30×34mm、左右同形</t>
  </si>
  <si>
    <t xml:space="preserve">同形2個で1ロット</t>
  </si>
  <si>
    <t xml:space="preserve">USD</t>
  </si>
  <si>
    <t xml:space="preserve">実サイト自動見積
CNC自動見積・手動図面審査前</t>
  </si>
  <si>
    <t xml:space="preserve">JLCCNC
STEP/PDFはA6-R1を使用。75.02USDは2個分。送料はS08。</t>
  </si>
  <si>
    <t xml:space="preserve">DECK_plate</t>
  </si>
  <si>
    <t xml:space="preserve">荷台用アルミ板
ESCO EA441VC-41、A5052 300×300×4mm</t>
  </si>
  <si>
    <t xml:space="preserve">1枚×1</t>
  </si>
  <si>
    <t xml:space="preserve">販売表示・条件付き
材料候補</t>
  </si>
  <si>
    <t xml:space="preserve">モノタロウ
14丸穴＋30×6長穴4か所を自加工。調質・板厚受入確認。</t>
  </si>
  <si>
    <t xml:space="preserve">DECK_square_bar</t>
  </si>
  <si>
    <t xml:space="preserve">荷台支持・ストッパ用アルミ角棒
光 AS6151、15×15×995mm</t>
  </si>
  <si>
    <t xml:space="preserve">1本</t>
  </si>
  <si>
    <t xml:space="preserve">定尺995mm×1</t>
  </si>
  <si>
    <t xml:space="preserve">あきばおー／Yahoo!
300mm×2＋50mm×4＝800mm使用。切りしろ18mm想定、端材約177mm。</t>
  </si>
  <si>
    <t xml:space="preserve">DECK_cargo_straps</t>
  </si>
  <si>
    <t xml:space="preserve">荷物固定ベルト
E-Value BT-2520BK、25mm×2m</t>
  </si>
  <si>
    <t xml:space="preserve">1本×2</t>
  </si>
  <si>
    <t xml:space="preserve">販売表示・条件付き
型式候補</t>
  </si>
  <si>
    <t xml:space="preserve">ホームセンターブリコ／Yahoo!
駆動伝達用ではなく荷物固定用。容器・敷板は積載重量に含める。</t>
  </si>
  <si>
    <t xml:space="preserve">DECK_fasteners_and_extra_slotnuts</t>
  </si>
  <si>
    <t xml:space="preserve">荷台締結材一式
M6×30×6、M6座金×12、HNTT6-6×6、M4×25/座金/ナット各8</t>
  </si>
  <si>
    <t xml:space="preserve">1式</t>
  </si>
  <si>
    <t xml:space="preserve">個別パック未確定</t>
  </si>
  <si>
    <t xml:space="preserve">予算枠
数量確定・購入単位未確定</t>
  </si>
  <si>
    <t xml:space="preserve">詳細は締結部品表。1500円は一式仮枠。F04/H01と重複しない。</t>
  </si>
  <si>
    <t xml:space="preserve">DECK_edge_protection_and_slack_retention</t>
  </si>
  <si>
    <t xml:space="preserve">ベルト接触部の保護材・余長固定
パッド／エッジ保護／結束部材</t>
  </si>
  <si>
    <t xml:space="preserve">未選定</t>
  </si>
  <si>
    <t xml:space="preserve">予算枠
予算枠</t>
  </si>
  <si>
    <t xml:space="preserve">長穴・金属角との接触保護、ベルト端の巻込み防止。</t>
  </si>
  <si>
    <t xml:space="preserve">P04</t>
  </si>
  <si>
    <t xml:space="preserve">電池クレードル・電装トレイ用PLA
手持ちPLAの消費量300g仮枠</t>
  </si>
  <si>
    <t xml:space="preserve">300g</t>
  </si>
  <si>
    <t xml:space="preserve">手持ち材料から消費／購入0</t>
  </si>
  <si>
    <t xml:space="preserve">予算枠
既所有材料を使う前提</t>
  </si>
  <si>
    <t xml:space="preserve">手持ちPLA</t>
  </si>
  <si>
    <t xml:space="preserve">CAD内3部品を製作。実スライス未実施。600円は材料消費評価で、新規スプール購入額ではない。金具の仮合わせモックは別。</t>
  </si>
  <si>
    <t xml:space="preserve">H02</t>
  </si>
  <si>
    <t xml:space="preserve">電池固定ストラップ
型式・幅・長さ未選定</t>
  </si>
  <si>
    <t xml:space="preserve">必要2本、販売単位未確定</t>
  </si>
  <si>
    <t xml:space="preserve">荷物固定ベルトとは別。実電池に合わせて決定。</t>
  </si>
  <si>
    <t xml:space="preserve">H01</t>
  </si>
  <si>
    <t xml:space="preserve">基礎部の追加ねじ・ナット・座金
詳細は締結部品表、追加66点</t>
  </si>
  <si>
    <t xml:space="preserve">2300円は一式仮枠。モーターねじFC-2512候補を含む。溝ナット・MW・荷台用は別予算。</t>
  </si>
  <si>
    <t xml:space="preserve">MW</t>
  </si>
  <si>
    <t xml:space="preserve">モーター座面用小径平座金
WILCO FW-2505-05EB、2.7×5×0.5mm</t>
  </si>
  <si>
    <t xml:space="preserve">6枚</t>
  </si>
  <si>
    <t xml:space="preserve">10枚一括購入（数量割引）</t>
  </si>
  <si>
    <t xml:space="preserve">WILCO
10枚以上29円/枚は税別。10枚税込319円、予備4枚。最低注文数が10枚という意味ではない。</t>
  </si>
  <si>
    <t xml:space="preserve">E02</t>
  </si>
  <si>
    <t xml:space="preserve">Pico接続用USBデータケーブル
Pico H側micro-B、ホスト側端子・長さ未定</t>
  </si>
  <si>
    <t xml:space="preserve">必要1本、商品未選定</t>
  </si>
  <si>
    <t xml:space="preserve">充電専用品を選ばない。旧USB-RS485B向けの記載を修正。</t>
  </si>
  <si>
    <t xml:space="preserve">ELEC_S1</t>
  </si>
  <si>
    <t xml:space="preserve">非常停止スイッチ
IDEC XA1E-BV302R／2NC、φ16.2mm取付</t>
  </si>
  <si>
    <t xml:space="preserve">販売表示・条件付き
回路候補・実装前</t>
  </si>
  <si>
    <t xml:space="preserve">価格記録は2026-09-21。完成した回路BOMではなく、周辺部品は未選定表に記載。</t>
  </si>
  <si>
    <t xml:space="preserve">ELEC_K1_K2</t>
  </si>
  <si>
    <t xml:space="preserve">駆動電源遮断リレー
Omron G5LE-1 DC5／DC5Vコイル、NO接点を2個直列</t>
  </si>
  <si>
    <t xml:space="preserve">1個×2</t>
  </si>
  <si>
    <t xml:space="preserve">ELEC_U1</t>
  </si>
  <si>
    <t xml:space="preserve">モーター制御・監視マイコン
Raspberry Pi Pico H SC0917／Pico H、RS485の唯一のマスタ</t>
  </si>
  <si>
    <t xml:space="preserve">ELEC_U2</t>
  </si>
  <si>
    <t xml:space="preserve">外部ウォッチドッグIC
CD74HC123E／再トリガ型ハートビート監視</t>
  </si>
  <si>
    <t xml:space="preserve">ELEC_U3</t>
  </si>
  <si>
    <t xml:space="preserve">手動再始動ラッチIC
TC74HC74AP／ARM押下エッジで許可</t>
  </si>
  <si>
    <t xml:space="preserve">ELEC_PS1</t>
  </si>
  <si>
    <t xml:space="preserve">監視回路用DC/DC
M78AR05-1／5V 1A、主計算機用とは別</t>
  </si>
  <si>
    <t xml:space="preserve">ELEC_U4</t>
  </si>
  <si>
    <t xml:space="preserve">RS485トランシーバIC
MAX3485ED (HTC)／3.3V、IC単体</t>
  </si>
  <si>
    <t xml:space="preserve">ELEC_RDUMP</t>
  </si>
  <si>
    <t xml:space="preserve">回生吸収抵抗
ARCOL HS50 22R J／22Ω 50W、放熱条件付き</t>
  </si>
  <si>
    <t xml:space="preserve">ELEC_U5</t>
  </si>
  <si>
    <t xml:space="preserve">クランプ比較器
LM393GN／バス過電圧検出</t>
  </si>
  <si>
    <t xml:space="preserve">ELEC_U6</t>
  </si>
  <si>
    <t xml:space="preserve">クランプ基準電圧IC
TL431A (HTC)／基準2.495V、調整必要</t>
  </si>
  <si>
    <t xml:space="preserve">ELEC_QCLAMP</t>
  </si>
  <si>
    <t xml:space="preserve">クランプMOSFET
2SK2232／抵抗のON/OFFスイッチ</t>
  </si>
  <si>
    <t xml:space="preserve">ELEC_PS2</t>
  </si>
  <si>
    <t xml:space="preserve">クランプ制御用レギュレータ
LM78L12／12V、モーターバスから給電</t>
  </si>
  <si>
    <t xml:space="preserve">ELEC_D0</t>
  </si>
  <si>
    <t xml:space="preserve">電池への逆流防止ダイオード
SBM1060LSS／60V 10A、10個入り</t>
  </si>
  <si>
    <t xml:space="preserve">10個入り×1</t>
  </si>
  <si>
    <t xml:space="preserve">S02</t>
  </si>
  <si>
    <t xml:space="preserve">キャスター送料
</t>
  </si>
  <si>
    <t xml:space="preserve">送料／諸費1式</t>
  </si>
  <si>
    <t xml:space="preserve">販売表示・条件付き
店舗受取の場合のみ0円</t>
  </si>
  <si>
    <t xml:space="preserve">ナフコ（店舗受取）
商品ページの店舗受取送料無料条件。自宅配送費ではない。受取店・準備日は注文前に確認。</t>
  </si>
  <si>
    <t xml:space="preserve">S03</t>
  </si>
  <si>
    <t xml:space="preserve">フレーム・残存素材の追加送料枠
</t>
  </si>
  <si>
    <t xml:space="preserve">予算枠
参考・条件付き</t>
  </si>
  <si>
    <t xml:space="preserve">Amazonほか</t>
  </si>
  <si>
    <t xml:space="preserve">1000円は仮枠。荷台DECK_SHIPとCNC送料は別。</t>
  </si>
  <si>
    <t xml:space="preserve">S04</t>
  </si>
  <si>
    <t xml:space="preserve">純正接合部・溝ナットの送料枠
</t>
  </si>
  <si>
    <t xml:space="preserve">500円は仮枠。個人購入経路未確定。</t>
  </si>
  <si>
    <t xml:space="preserve">S06</t>
  </si>
  <si>
    <t xml:space="preserve">タイヤ国内通常送料
</t>
  </si>
  <si>
    <t xml:space="preserve">販売表示・条件付き
参考・条件付き</t>
  </si>
  <si>
    <t xml:space="preserve">スイッチサイエンス
2キット9240円を同時注文する条件で0円。</t>
  </si>
  <si>
    <t xml:space="preserve">S07</t>
  </si>
  <si>
    <t xml:space="preserve">Taobao送料・輸入諸費
</t>
  </si>
  <si>
    <t xml:space="preserve">未見積
未見積</t>
  </si>
  <si>
    <t xml:space="preserve">Taobao等</t>
  </si>
  <si>
    <t xml:space="preserve">無料と仮定しない。配送・代行・税・為替未確定。</t>
  </si>
  <si>
    <t xml:space="preserve">DECK_SHIP</t>
  </si>
  <si>
    <t xml:space="preserve">荷台材料の送料参考
</t>
  </si>
  <si>
    <t xml:space="preserve">Yahoo!ほか</t>
  </si>
  <si>
    <t xml:space="preserve">角棒600円＋ベルト600円の地域表示例。荷台板通常送料0円条件。</t>
  </si>
  <si>
    <t xml:space="preserve">S08</t>
  </si>
  <si>
    <t xml:space="preserve">CNC日本宛送料
</t>
  </si>
  <si>
    <t xml:space="preserve">実サイト自動見積
参考・条件付き</t>
  </si>
  <si>
    <t xml:space="preserve">JLCCNC／OCS
OCS表示7.23USD。住所別差額・税・決済換算別。</t>
  </si>
  <si>
    <t xml:space="preserve">締結部品の数量内訳</t>
  </si>
  <si>
    <t xml:space="preserve">購入品シートのセット・一式予算の内訳。別途必要数は販売パック購入数ではありません。</t>
  </si>
  <si>
    <t xml:space="preserve">仕様</t>
  </si>
  <si>
    <t xml:space="preserve">セット付属</t>
  </si>
  <si>
    <t xml:space="preserve">別途必要数</t>
  </si>
  <si>
    <t xml:space="preserve">費用計上先</t>
  </si>
  <si>
    <t xml:space="preserve">2.7x5x0.5 steel plain washer</t>
  </si>
  <si>
    <t xml:space="preserve">FW-2505-05EBを10枚購入予定・6枚使用・4枚余り。</t>
  </si>
  <si>
    <t xml:space="preserve">HNTT6-6 slot nut</t>
  </si>
  <si>
    <t xml:space="preserve">DECK_fasteners_and_extra_slotnuts, F03, F04</t>
  </si>
  <si>
    <t xml:space="preserve">50個＝接合SET16＋基礎追加28＋荷台6。追加購入は合計34個。</t>
  </si>
  <si>
    <t xml:space="preserve">M2.5x12 socket screw</t>
  </si>
  <si>
    <t xml:space="preserve">WILCO FC-2512（12.9）候補。タイヤキットの付属ねじとは別。</t>
  </si>
  <si>
    <t xml:space="preserve">M4 plain hex nut</t>
  </si>
  <si>
    <t xml:space="preserve">価格は親行に含む。販売パック未確認。</t>
  </si>
  <si>
    <t xml:space="preserve">M4 plain washer 9x4.3x0.8</t>
  </si>
  <si>
    <t xml:space="preserve">M4x25 socket screw</t>
  </si>
  <si>
    <t xml:space="preserve">M6 JIS B1256 grade A washer 12x6.4x1.6</t>
  </si>
  <si>
    <t xml:space="preserve">荷台M6ボルト1本につき2枚。厚さ選別用の予備は未定。</t>
  </si>
  <si>
    <t xml:space="preserve">M6 large washer OD18 ID6.6 t1.6</t>
  </si>
  <si>
    <t xml:space="preserve">M6 plain hex nut</t>
  </si>
  <si>
    <t xml:space="preserve">M6 washer OD13 ID6.6 t1.6</t>
  </si>
  <si>
    <t xml:space="preserve">M6x10 socket screw</t>
  </si>
  <si>
    <t xml:space="preserve">M6x12 socket screw</t>
  </si>
  <si>
    <t xml:space="preserve">F03, H01</t>
  </si>
  <si>
    <t xml:space="preserve">M6x16 socket screw</t>
  </si>
  <si>
    <t xml:space="preserve">M6x30 socket screw</t>
  </si>
  <si>
    <t xml:space="preserve">荷台用。組付け時の突出量7.5〜8.0mmと溝底隙間を実測する。</t>
  </si>
  <si>
    <t xml:space="preserve">タイヤキット付属ねじ（寸法未公表）</t>
  </si>
  <si>
    <t xml:space="preserve">各キット3本×2。CADには個別形状なし。別購入しない。</t>
  </si>
  <si>
    <t xml:space="preserve">外注・自加工・3Dプリント部品</t>
  </si>
  <si>
    <t xml:space="preserve">親行の素材費・加工見積に含む。モーター金具以外の工具・工賃・外注完成価格は未計上。</t>
  </si>
  <si>
    <t xml:space="preserve">部品</t>
  </si>
  <si>
    <t xml:space="preserve">数量</t>
  </si>
  <si>
    <t xml:space="preserve">材質・寸法</t>
  </si>
  <si>
    <t xml:space="preserve">製作方法</t>
  </si>
  <si>
    <t xml:space="preserve">設計資料</t>
  </si>
  <si>
    <t xml:space="preserve">M01</t>
  </si>
  <si>
    <t xml:space="preserve">専用モーター金具</t>
  </si>
  <si>
    <t xml:space="preserve">A6061-T6／90×30×34mm</t>
  </si>
  <si>
    <t xml:space="preserve">CNC外注</t>
  </si>
  <si>
    <t xml:space="preserve">左右同形2個、図面PDF同送。75.02USD/2個の自動見積。</t>
  </si>
  <si>
    <t xml:space="preserve">M02</t>
  </si>
  <si>
    <t xml:space="preserve">キャスター取付板</t>
  </si>
  <si>
    <t xml:space="preserve">A5052／80×170×4mm</t>
  </si>
  <si>
    <t xml:space="preserve">自加工</t>
  </si>
  <si>
    <t xml:space="preserve">材料費のみ。切断・穴加工・面取り。</t>
  </si>
  <si>
    <t xml:space="preserve">M03</t>
  </si>
  <si>
    <t xml:space="preserve">コーナーガセット</t>
  </si>
  <si>
    <t xml:space="preserve">A5052／直角二辺60mm・t3</t>
  </si>
  <si>
    <t xml:space="preserve">150角素材から4枚。加工図はCADから作成が必要。</t>
  </si>
  <si>
    <t xml:space="preserve">M04</t>
  </si>
  <si>
    <t xml:space="preserve">荷台板</t>
  </si>
  <si>
    <t xml:space="preserve">A5052／300×300×4mm</t>
  </si>
  <si>
    <t xml:space="preserve">14丸穴＋30×6長穴4か所。</t>
  </si>
  <si>
    <t xml:space="preserve">M05</t>
  </si>
  <si>
    <t xml:space="preserve">荷台支持棒</t>
  </si>
  <si>
    <t xml:space="preserve">アルミ／15×15×300mm</t>
  </si>
  <si>
    <t xml:space="preserve">支持棒2本＋ストッパ4個を同じ995mm材1本から製作。</t>
  </si>
  <si>
    <t xml:space="preserve">M06</t>
  </si>
  <si>
    <t xml:space="preserve">荷物ストッパ</t>
  </si>
  <si>
    <t xml:space="preserve">アルミ／15×15×50mm</t>
  </si>
  <si>
    <t xml:space="preserve">支持棒と同じ材料行。素材代を二重計上しない。</t>
  </si>
  <si>
    <t xml:space="preserve">M07</t>
  </si>
  <si>
    <t xml:space="preserve">電池クレードル</t>
  </si>
  <si>
    <t xml:space="preserve">PLA／130×160×37mm</t>
  </si>
  <si>
    <t xml:space="preserve">P1Sで印刷</t>
  </si>
  <si>
    <t xml:space="preserve">電池型式未定。スライス・印刷条件・実電池の適合未確認。</t>
  </si>
  <si>
    <t xml:space="preserve">M08</t>
  </si>
  <si>
    <t xml:space="preserve">後部電装トレイ</t>
  </si>
  <si>
    <t xml:space="preserve">PLA／85×180×4.4mm</t>
  </si>
  <si>
    <t xml:space="preserve">現CADの部品。新電装用ケース・固定具は未選定表で別管理。</t>
  </si>
  <si>
    <t xml:space="preserve">M09</t>
  </si>
  <si>
    <t xml:space="preserve">前部電装トレイ</t>
  </si>
  <si>
    <t xml:space="preserve">PLA／145×170×4.4mm</t>
  </si>
  <si>
    <t xml:space="preserve">PLA消費材料費は3部品まとめてP04。</t>
  </si>
  <si>
    <t xml:space="preserve">未選定品・未見積項目</t>
  </si>
  <si>
    <t xml:space="preserve">価格未確定のため完成車総額を出していません。機械ブレーキは不採用なので、この未選定一覧にも含めません。</t>
  </si>
  <si>
    <t xml:space="preserve">必要なもの</t>
  </si>
  <si>
    <t xml:space="preserve">必要数量</t>
  </si>
  <si>
    <t xml:space="preserve">仕様の出発点</t>
  </si>
  <si>
    <t xml:space="preserve">残る決定</t>
  </si>
  <si>
    <t xml:space="preserve">段階</t>
  </si>
  <si>
    <t xml:space="preserve">U01</t>
  </si>
  <si>
    <t xml:space="preserve">電池・保護回路・接続アダプター</t>
  </si>
  <si>
    <t xml:space="preserve">18V級・満充電21V以下の現行構成、電池質量枠0.75kg</t>
  </si>
  <si>
    <t xml:space="preserve">セル保護・電流・コネクタ・120×80×65mm予約との適合を確定</t>
  </si>
  <si>
    <t xml:space="preserve">走行台車</t>
  </si>
  <si>
    <t xml:space="preserve">U02</t>
  </si>
  <si>
    <t xml:space="preserve">適合充電器</t>
  </si>
  <si>
    <t xml:space="preserve">1台</t>
  </si>
  <si>
    <t xml:space="preserve">選定電池専用品</t>
  </si>
  <si>
    <t xml:space="preserve">車体から分離充電。電池と同時選定</t>
  </si>
  <si>
    <t xml:space="preserve">U03</t>
  </si>
  <si>
    <t xml:space="preserve">上位計算機・記憶媒体・冷却</t>
  </si>
  <si>
    <t xml:space="preserve">初期は外部PC利用も可能、搭載型式未定</t>
  </si>
  <si>
    <t xml:space="preserve">現在の0.50kg枠への収まりを確認。外部PCを流用する場合は購入除外を明記</t>
  </si>
  <si>
    <t xml:space="preserve">U04</t>
  </si>
  <si>
    <t xml:space="preserve">上位計算機用DC/DC</t>
  </si>
  <si>
    <t xml:space="preserve">計算機決定後に出力を決定</t>
  </si>
  <si>
    <t xml:space="preserve">監視用5V/1Aとは別回路</t>
  </si>
  <si>
    <t xml:space="preserve">U05</t>
  </si>
  <si>
    <t xml:space="preserve">ARM押ボタン</t>
  </si>
  <si>
    <t xml:space="preserve">新しい押下エッジを検出</t>
  </si>
  <si>
    <t xml:space="preserve">接点・デバウンスを確定</t>
  </si>
  <si>
    <t xml:space="preserve">U06</t>
  </si>
  <si>
    <t xml:space="preserve">主電源スイッチ・主コネクタ</t>
  </si>
  <si>
    <t xml:space="preserve">DC電源に適合</t>
  </si>
  <si>
    <t xml:space="preserve">電池・突入電流・抜け止め条件に合わせる</t>
  </si>
  <si>
    <t xml:space="preserve">U07</t>
  </si>
  <si>
    <t xml:space="preserve">ヒューズ・ホルダー</t>
  </si>
  <si>
    <t xml:space="preserve">5回路＋計算機系</t>
  </si>
  <si>
    <t xml:space="preserve">仮値F0 10A/Fdrv 7.5A/FL・FR各3A/Fctl 1A、Fpc未定</t>
  </si>
  <si>
    <t xml:space="preserve">DC遮断定格、突入、線材許容電流で型式と数量を確定</t>
  </si>
  <si>
    <t xml:space="preserve">U08</t>
  </si>
  <si>
    <t xml:space="preserve">制御・分配基板とコネクタ</t>
  </si>
  <si>
    <t xml:space="preserve">回路図・PCB未完</t>
  </si>
  <si>
    <t xml:space="preserve">候補ICを実装するための基板、端子台、取付を確定</t>
  </si>
  <si>
    <t xml:space="preserve">U09</t>
  </si>
  <si>
    <t xml:space="preserve">リレーコイル駆動・保護部品</t>
  </si>
  <si>
    <t xml:space="preserve">2回路分</t>
  </si>
  <si>
    <t xml:space="preserve">トランジスタ・逆起電力保護</t>
  </si>
  <si>
    <t xml:space="preserve">実回路の部品型式・定数・数量を確定</t>
  </si>
  <si>
    <t xml:space="preserve">U10</t>
  </si>
  <si>
    <t xml:space="preserve">レベル変換・デバウンス・電源投入リセット</t>
  </si>
  <si>
    <t xml:space="preserve">Pico3.3Vと5V監視回路間</t>
  </si>
  <si>
    <t xml:space="preserve">回路確定後に受動部品まで展開</t>
  </si>
  <si>
    <t xml:space="preserve">U11</t>
  </si>
  <si>
    <t xml:space="preserve">抵抗・コンデンサ・終端抵抗</t>
  </si>
  <si>
    <t xml:space="preserve">クランプ・監視・RS485周辺</t>
  </si>
  <si>
    <t xml:space="preserve">値の候補は回路資料にあるが実装数量・終端内蔵有無未確定</t>
  </si>
  <si>
    <t xml:space="preserve">U12</t>
  </si>
  <si>
    <t xml:space="preserve">電圧・電流計測部品</t>
  </si>
  <si>
    <t xml:space="preserve">車載監視と調整用</t>
  </si>
  <si>
    <t xml:space="preserve">実装回路・測定レンジ・校正を確定</t>
  </si>
  <si>
    <t xml:space="preserve">U13</t>
  </si>
  <si>
    <t xml:space="preserve">電源線・信号線・圧着端子・結束材</t>
  </si>
  <si>
    <t xml:space="preserve">長さ・個数未定</t>
  </si>
  <si>
    <t xml:space="preserve">主幹/延長線0.75mm²を出発点、RS485はツイストペア</t>
  </si>
  <si>
    <t xml:space="preserve">配線図と実経路から線長・端子数を確定。工場付属ハーネスとの重複を避ける</t>
  </si>
  <si>
    <t xml:space="preserve">U14</t>
  </si>
  <si>
    <t xml:space="preserve">放熱固定具・ガード・絶縁材</t>
  </si>
  <si>
    <t xml:space="preserve">回生抵抗と電源回路用</t>
  </si>
  <si>
    <t xml:space="preserve">放熱面・端子カバー・温度を確認</t>
  </si>
  <si>
    <t xml:space="preserve">U15</t>
  </si>
  <si>
    <t xml:space="preserve">電装固定板・ケース・スタンドオフ</t>
  </si>
  <si>
    <t xml:space="preserve">数量未定</t>
  </si>
  <si>
    <t xml:space="preserve">CADは予約空間のみ</t>
  </si>
  <si>
    <t xml:space="preserve">既存PLAトレイだけで新電装の取付成立とはしない</t>
  </si>
  <si>
    <t xml:space="preserve">U16</t>
  </si>
  <si>
    <t xml:space="preserve">未確定送料・税・決済換算</t>
  </si>
  <si>
    <t xml:space="preserve">WILCO・電装店・Taobao・CNC等</t>
  </si>
  <si>
    <t xml:space="preserve">送料行で計上済みの分を重複加算しない</t>
  </si>
  <si>
    <t xml:space="preserve">U17</t>
  </si>
  <si>
    <t xml:space="preserve">加工工具・作業費・外注に切り替えた板加工</t>
  </si>
  <si>
    <t xml:space="preserve">必要に応じて</t>
  </si>
  <si>
    <t xml:space="preserve">穴加工、切断、面取り、締付・測定工具</t>
  </si>
  <si>
    <t xml:space="preserve">素材代に工賃は含まない。金具以外の外注見積なし</t>
  </si>
  <si>
    <t xml:space="preserve">U18</t>
  </si>
  <si>
    <t xml:space="preserve">PLA仮合わせモックの材料消費</t>
  </si>
  <si>
    <t xml:space="preserve">スライス後</t>
  </si>
  <si>
    <t xml:space="preserve">金具本体・確認片の試作</t>
  </si>
  <si>
    <t xml:space="preserve">P04の車体用300g枠とは別。印刷時間・材料量未確定</t>
  </si>
  <si>
    <t xml:space="preserve">製作補助</t>
  </si>
  <si>
    <t xml:space="preserve">U19</t>
  </si>
  <si>
    <t xml:space="preserve">自律移動用LiDAR・IMU・カメラ等</t>
  </si>
  <si>
    <t xml:space="preserve">後工程の自己位置推定・障害物検出</t>
  </si>
  <si>
    <t xml:space="preserve">今回の小計は走行台車と電装候補。自律移動一式の完成価格ではない</t>
  </si>
  <si>
    <t xml:space="preserve">将来自律移動</t>
  </si>
  <si>
    <t xml:space="preserve">U20</t>
  </si>
  <si>
    <t xml:space="preserve">荷物容器・敷板</t>
  </si>
  <si>
    <t xml:space="preserve">連続平底200×200mm、重心範囲内</t>
  </si>
  <si>
    <t xml:space="preserve">荷台上の積載物として重量算入。手持ち品利用可</t>
  </si>
  <si>
    <t xml:space="preserve">積載物</t>
  </si>
  <si>
    <t xml:space="preserve">CAD物理形状と費用行の対応</t>
  </si>
  <si>
    <t xml:space="preserve">全222形状。1購入品＝複数CAD形状の場合があります。タイヤ付属ねじと電装予約を別購入品として数えていません。</t>
  </si>
  <si>
    <t xml:space="preserve">CADオブジェクト</t>
  </si>
  <si>
    <t xml:space="preserve">費用ID</t>
  </si>
  <si>
    <t xml:space="preserve">ラベル</t>
  </si>
  <si>
    <t xml:space="preserve">材料区分</t>
  </si>
  <si>
    <t xml:space="preserve">締結仕様</t>
  </si>
  <si>
    <t xml:space="preserve">Rail400_1</t>
  </si>
  <si>
    <t xml:space="preserve">NFSL6-3030-400 | stock, no cuts</t>
  </si>
  <si>
    <t xml:space="preserve">aluminum</t>
  </si>
  <si>
    <t xml:space="preserve">Rail400_2</t>
  </si>
  <si>
    <t xml:space="preserve">NFSL6-3030-400 | stock, no cuts001</t>
  </si>
  <si>
    <t xml:space="preserve">Rail400_3</t>
  </si>
  <si>
    <t xml:space="preserve">NFSL6-3030-400 | stock, no cuts002</t>
  </si>
  <si>
    <t xml:space="preserve">Rail400_4</t>
  </si>
  <si>
    <t xml:space="preserve">NFSL6-3030-400 | stock, no cuts003</t>
  </si>
  <si>
    <t xml:space="preserve">Cross300_1</t>
  </si>
  <si>
    <t xml:space="preserve">NFSL6-3030-300 | stock, no cuts</t>
  </si>
  <si>
    <t xml:space="preserve">Cross300_2</t>
  </si>
  <si>
    <t xml:space="preserve">NFSL6-3030-300 | stock, no cuts001</t>
  </si>
  <si>
    <t xml:space="preserve">Bracket_NN120</t>
  </si>
  <si>
    <t xml:space="preserve">MISUMI HBLFSN6-SET | series6</t>
  </si>
  <si>
    <t xml:space="preserve">JointA_NN120</t>
  </si>
  <si>
    <t xml:space="preserve">JointA NN120</t>
  </si>
  <si>
    <t xml:space="preserve">steel</t>
  </si>
  <si>
    <t xml:space="preserve">SlotNut_JointA_NN120</t>
  </si>
  <si>
    <t xml:space="preserve">HNTT6-6 | catalog6.3 thick, tapered nominal profile</t>
  </si>
  <si>
    <t xml:space="preserve">JointB_NN120</t>
  </si>
  <si>
    <t xml:space="preserve">JointB NN120</t>
  </si>
  <si>
    <t xml:space="preserve">SlotNut_JointB_NN120</t>
  </si>
  <si>
    <t xml:space="preserve">HNTT6-6 | catalog6.3 thick, tapered nominal profile001</t>
  </si>
  <si>
    <t xml:space="preserve">Bracket_NN50</t>
  </si>
  <si>
    <t xml:space="preserve">MISUMI HBLFSN6-SET | series001</t>
  </si>
  <si>
    <t xml:space="preserve">JointA_NN50</t>
  </si>
  <si>
    <t xml:space="preserve">JointA NN50</t>
  </si>
  <si>
    <t xml:space="preserve">SlotNut_JointA_NN50</t>
  </si>
  <si>
    <t xml:space="preserve">HNTT6-6 | catalog6.3 thick, tapered nominal profile002</t>
  </si>
  <si>
    <t xml:space="preserve">JointB_NN50</t>
  </si>
  <si>
    <t xml:space="preserve">JointB NN50</t>
  </si>
  <si>
    <t xml:space="preserve">SlotNut_JointB_NN50</t>
  </si>
  <si>
    <t xml:space="preserve">HNTT6-6 | catalog6.3 thick, tapered nominal profile003</t>
  </si>
  <si>
    <t xml:space="preserve">Bracket_N50</t>
  </si>
  <si>
    <t xml:space="preserve">MISUMI HBLFSN6-SET | series002</t>
  </si>
  <si>
    <t xml:space="preserve">JointA_N50</t>
  </si>
  <si>
    <t xml:space="preserve">JointA N50</t>
  </si>
  <si>
    <t xml:space="preserve">SlotNut_JointA_N50</t>
  </si>
  <si>
    <t xml:space="preserve">HNTT6-6 | catalog6.3 thick, tapered nominal profile004</t>
  </si>
  <si>
    <t xml:space="preserve">JointB_N50</t>
  </si>
  <si>
    <t xml:space="preserve">JointB N50</t>
  </si>
  <si>
    <t xml:space="preserve">SlotNut_JointB_N50</t>
  </si>
  <si>
    <t xml:space="preserve">HNTT6-6 | catalog6.3 thick, tapered nominal profile005</t>
  </si>
  <si>
    <t xml:space="preserve">Bracket_N120</t>
  </si>
  <si>
    <t xml:space="preserve">MISUMI HBLFSN6-SET | series003</t>
  </si>
  <si>
    <t xml:space="preserve">JointA_N120</t>
  </si>
  <si>
    <t xml:space="preserve">JointA N120</t>
  </si>
  <si>
    <t xml:space="preserve">SlotNut_JointA_N120</t>
  </si>
  <si>
    <t xml:space="preserve">HNTT6-6 | catalog6.3 thick, tapered nominal profile006</t>
  </si>
  <si>
    <t xml:space="preserve">JointB_N120</t>
  </si>
  <si>
    <t xml:space="preserve">JointB N120</t>
  </si>
  <si>
    <t xml:space="preserve">SlotNut_JointB_N120</t>
  </si>
  <si>
    <t xml:space="preserve">HNTT6-6 | catalog6.3 thick, tapered nominal profile007</t>
  </si>
  <si>
    <t xml:space="preserve">Gusset_N1N1</t>
  </si>
  <si>
    <t xml:space="preserve">A5052 t3 corner gusset | retained</t>
  </si>
  <si>
    <t xml:space="preserve">Washer_GussetN1N10</t>
  </si>
  <si>
    <t xml:space="preserve">Washer GussetN1N10</t>
  </si>
  <si>
    <t xml:space="preserve">GussetBolt_N1N10</t>
  </si>
  <si>
    <t xml:space="preserve">GussetBolt N1N10</t>
  </si>
  <si>
    <t xml:space="preserve">SlotNut_Gusset_N1N10</t>
  </si>
  <si>
    <t xml:space="preserve">HNTT6-6 | catalog6.3 thick, tapered nominal profile008</t>
  </si>
  <si>
    <t xml:space="preserve">Washer_GussetN1N11</t>
  </si>
  <si>
    <t xml:space="preserve">Washer GussetN1N11</t>
  </si>
  <si>
    <t xml:space="preserve">GussetBolt_N1N11</t>
  </si>
  <si>
    <t xml:space="preserve">GussetBolt N1N11</t>
  </si>
  <si>
    <t xml:space="preserve">SlotNut_Gusset_N1N11</t>
  </si>
  <si>
    <t xml:space="preserve">HNTT6-6 | catalog6.3 thick, tapered nominal profile009</t>
  </si>
  <si>
    <t xml:space="preserve">Gusset_N11</t>
  </si>
  <si>
    <t xml:space="preserve">A5052 t3 corner gusset | retained001</t>
  </si>
  <si>
    <t xml:space="preserve">Washer_GussetN110</t>
  </si>
  <si>
    <t xml:space="preserve">Washer GussetN110</t>
  </si>
  <si>
    <t xml:space="preserve">GussetBolt_N110</t>
  </si>
  <si>
    <t xml:space="preserve">GussetBolt N110</t>
  </si>
  <si>
    <t xml:space="preserve">SlotNut_Gusset_N110</t>
  </si>
  <si>
    <t xml:space="preserve">HNTT6-6 | catalog6.3 thick, tapered nominal profile010</t>
  </si>
  <si>
    <t xml:space="preserve">Washer_GussetN111</t>
  </si>
  <si>
    <t xml:space="preserve">Washer GussetN111</t>
  </si>
  <si>
    <t xml:space="preserve">GussetBolt_N111</t>
  </si>
  <si>
    <t xml:space="preserve">GussetBolt N111</t>
  </si>
  <si>
    <t xml:space="preserve">SlotNut_Gusset_N111</t>
  </si>
  <si>
    <t xml:space="preserve">HNTT6-6 | catalog6.3 thick, tapered nominal profile011</t>
  </si>
  <si>
    <t xml:space="preserve">Bracket_PN120</t>
  </si>
  <si>
    <t xml:space="preserve">MISUMI HBLFSN6-SET | series004</t>
  </si>
  <si>
    <t xml:space="preserve">JointA_PN120</t>
  </si>
  <si>
    <t xml:space="preserve">JointA PN120</t>
  </si>
  <si>
    <t xml:space="preserve">SlotNut_JointA_PN120</t>
  </si>
  <si>
    <t xml:space="preserve">HNTT6-6 | catalog6.3 thick, tapered nominal profile012</t>
  </si>
  <si>
    <t xml:space="preserve">JointB_PN120</t>
  </si>
  <si>
    <t xml:space="preserve">JointB PN120</t>
  </si>
  <si>
    <t xml:space="preserve">SlotNut_JointB_PN120</t>
  </si>
  <si>
    <t xml:space="preserve">HNTT6-6 | catalog6.3 thick, tapered nominal profile013</t>
  </si>
  <si>
    <t xml:space="preserve">Bracket_PN50</t>
  </si>
  <si>
    <t xml:space="preserve">MISUMI HBLFSN6-SET | series005</t>
  </si>
  <si>
    <t xml:space="preserve">JointA_PN50</t>
  </si>
  <si>
    <t xml:space="preserve">JointA PN50</t>
  </si>
  <si>
    <t xml:space="preserve">SlotNut_JointA_PN50</t>
  </si>
  <si>
    <t xml:space="preserve">HNTT6-6 | catalog6.3 thick, tapered nominal profile014</t>
  </si>
  <si>
    <t xml:space="preserve">JointB_PN50</t>
  </si>
  <si>
    <t xml:space="preserve">JointB PN50</t>
  </si>
  <si>
    <t xml:space="preserve">SlotNut_JointB_PN50</t>
  </si>
  <si>
    <t xml:space="preserve">HNTT6-6 | catalog6.3 thick, tapered nominal profile015</t>
  </si>
  <si>
    <t xml:space="preserve">Bracket_P50</t>
  </si>
  <si>
    <t xml:space="preserve">MISUMI HBLFSN6-SET | series006</t>
  </si>
  <si>
    <t xml:space="preserve">JointA_P50</t>
  </si>
  <si>
    <t xml:space="preserve">JointA P50</t>
  </si>
  <si>
    <t xml:space="preserve">SlotNut_JointA_P50</t>
  </si>
  <si>
    <t xml:space="preserve">HNTT6-6 | catalog6.3 thick, tapered nominal profile016</t>
  </si>
  <si>
    <t xml:space="preserve">JointB_P50</t>
  </si>
  <si>
    <t xml:space="preserve">JointB P50</t>
  </si>
  <si>
    <t xml:space="preserve">SlotNut_JointB_P50</t>
  </si>
  <si>
    <t xml:space="preserve">HNTT6-6 | catalog6.3 thick, tapered nominal profile017</t>
  </si>
  <si>
    <t xml:space="preserve">Bracket_P120</t>
  </si>
  <si>
    <t xml:space="preserve">MISUMI HBLFSN6-SET | series007</t>
  </si>
  <si>
    <t xml:space="preserve">JointA_P120</t>
  </si>
  <si>
    <t xml:space="preserve">JointA P120</t>
  </si>
  <si>
    <t xml:space="preserve">SlotNut_JointA_P120</t>
  </si>
  <si>
    <t xml:space="preserve">HNTT6-6 | catalog6.3 thick, tapered nominal profile018</t>
  </si>
  <si>
    <t xml:space="preserve">JointB_P120</t>
  </si>
  <si>
    <t xml:space="preserve">JointB P120</t>
  </si>
  <si>
    <t xml:space="preserve">SlotNut_JointB_P120</t>
  </si>
  <si>
    <t xml:space="preserve">HNTT6-6 | catalog6.3 thick, tapered nominal profile019</t>
  </si>
  <si>
    <t xml:space="preserve">Gusset_1N1</t>
  </si>
  <si>
    <t xml:space="preserve">A5052 t3 corner gusset | retained002</t>
  </si>
  <si>
    <t xml:space="preserve">Washer_Gusset1N10</t>
  </si>
  <si>
    <t xml:space="preserve">Washer Gusset1N10</t>
  </si>
  <si>
    <t xml:space="preserve">GussetBolt_1N10</t>
  </si>
  <si>
    <t xml:space="preserve">GussetBolt 1N10</t>
  </si>
  <si>
    <t xml:space="preserve">SlotNut_Gusset_1N10</t>
  </si>
  <si>
    <t xml:space="preserve">HNTT6-6 | catalog6.3 thick, tapered nominal profile020</t>
  </si>
  <si>
    <t xml:space="preserve">Washer_Gusset1N11</t>
  </si>
  <si>
    <t xml:space="preserve">Washer Gusset1N11</t>
  </si>
  <si>
    <t xml:space="preserve">GussetBolt_1N11</t>
  </si>
  <si>
    <t xml:space="preserve">GussetBolt 1N11</t>
  </si>
  <si>
    <t xml:space="preserve">SlotNut_Gusset_1N11</t>
  </si>
  <si>
    <t xml:space="preserve">HNTT6-6 | catalog6.3 thick, tapered nominal profile021</t>
  </si>
  <si>
    <t xml:space="preserve">Gusset_11</t>
  </si>
  <si>
    <t xml:space="preserve">A5052 t3 corner gusset | retained003</t>
  </si>
  <si>
    <t xml:space="preserve">Washer_Gusset110</t>
  </si>
  <si>
    <t xml:space="preserve">Washer Gusset110</t>
  </si>
  <si>
    <t xml:space="preserve">GussetBolt_110</t>
  </si>
  <si>
    <t xml:space="preserve">GussetBolt 110</t>
  </si>
  <si>
    <t xml:space="preserve">SlotNut_Gusset_110</t>
  </si>
  <si>
    <t xml:space="preserve">HNTT6-6 | catalog6.3 thick, tapered nominal profile022</t>
  </si>
  <si>
    <t xml:space="preserve">Washer_Gusset111</t>
  </si>
  <si>
    <t xml:space="preserve">Washer Gusset111</t>
  </si>
  <si>
    <t xml:space="preserve">GussetBolt_111</t>
  </si>
  <si>
    <t xml:space="preserve">GussetBolt 111</t>
  </si>
  <si>
    <t xml:space="preserve">SlotNut_Gusset_111</t>
  </si>
  <si>
    <t xml:space="preserve">HNTT6-6 | catalog6.3 thick, tapered nominal profile023</t>
  </si>
  <si>
    <t xml:space="preserve">CustomMotorMountL</t>
  </si>
  <si>
    <t xml:space="preserve">A6-R1 CNC mount L | seated pocket + washer recesses</t>
  </si>
  <si>
    <t xml:space="preserve">MountFrameBolt_52p5L</t>
  </si>
  <si>
    <t xml:space="preserve">MountFrameBolt 52p5L</t>
  </si>
  <si>
    <t xml:space="preserve">SlotNut_Mount_52p5L</t>
  </si>
  <si>
    <t xml:space="preserve">HNTT6-6 | catalog6.3 thick, tapered nominal profile024</t>
  </si>
  <si>
    <t xml:space="preserve">MountFrameBolt_127p5L</t>
  </si>
  <si>
    <t xml:space="preserve">MountFrameBolt 127p5L</t>
  </si>
  <si>
    <t xml:space="preserve">SlotNut_Mount_127p5L</t>
  </si>
  <si>
    <t xml:space="preserve">HNTT6-6 | catalog6.3 thick, tapered nominal profile025</t>
  </si>
  <si>
    <t xml:space="preserve">MotorFaceBolt_0L</t>
  </si>
  <si>
    <t xml:space="preserve">MotorFaceBolt 0L</t>
  </si>
  <si>
    <t xml:space="preserve">MotorFaceBolt_1L</t>
  </si>
  <si>
    <t xml:space="preserve">MotorFaceBolt 1L</t>
  </si>
  <si>
    <t xml:space="preserve">MotorFaceBolt_2L</t>
  </si>
  <si>
    <t xml:space="preserve">MotorFaceBolt 2L</t>
  </si>
  <si>
    <t xml:space="preserve">M0601MotorL</t>
  </si>
  <si>
    <t xml:space="preserve">M0601C_111 | vendor STEP rigid body | 485g catalog</t>
  </si>
  <si>
    <t xml:space="preserve">purchased</t>
  </si>
  <si>
    <t xml:space="preserve">TireL</t>
  </si>
  <si>
    <t xml:space="preserve">DDT-M0601C-TIRE | nominal100.7x43 | axial datum provisional</t>
  </si>
  <si>
    <t xml:space="preserve">TireCoverL</t>
  </si>
  <si>
    <t xml:space="preserve">Tire kit cover | nominal67x10 | included3 screws not dimensioned</t>
  </si>
  <si>
    <t xml:space="preserve">CustomMotorMountR</t>
  </si>
  <si>
    <t xml:space="preserve">A6-R1 CNC mount R | seated pocket + washer recesses</t>
  </si>
  <si>
    <t xml:space="preserve">MountFrameBolt_52p5R</t>
  </si>
  <si>
    <t xml:space="preserve">MountFrameBolt 52p5R</t>
  </si>
  <si>
    <t xml:space="preserve">SlotNut_Mount_52p5R</t>
  </si>
  <si>
    <t xml:space="preserve">HNTT6-6 | catalog6.3 thick, tapered nominal profile026</t>
  </si>
  <si>
    <t xml:space="preserve">MountFrameBolt_127p5R</t>
  </si>
  <si>
    <t xml:space="preserve">MountFrameBolt 127p5R</t>
  </si>
  <si>
    <t xml:space="preserve">SlotNut_Mount_127p5R</t>
  </si>
  <si>
    <t xml:space="preserve">HNTT6-6 | catalog6.3 thick, tapered nominal profile027</t>
  </si>
  <si>
    <t xml:space="preserve">MotorFaceBolt_0R</t>
  </si>
  <si>
    <t xml:space="preserve">MotorFaceBolt 0R</t>
  </si>
  <si>
    <t xml:space="preserve">MotorFaceBolt_1R</t>
  </si>
  <si>
    <t xml:space="preserve">MotorFaceBolt 1R</t>
  </si>
  <si>
    <t xml:space="preserve">MotorFaceBolt_2R</t>
  </si>
  <si>
    <t xml:space="preserve">MotorFaceBolt 2R</t>
  </si>
  <si>
    <t xml:space="preserve">M0601MotorR</t>
  </si>
  <si>
    <t xml:space="preserve">M0601C_111 | vendor STEP rigid body | 485g catalog001</t>
  </si>
  <si>
    <t xml:space="preserve">TireR</t>
  </si>
  <si>
    <t xml:space="preserve">DDT-M0601C-TIRE | nominal100.7x43 | axial datum provisional001</t>
  </si>
  <si>
    <t xml:space="preserve">TireCoverR</t>
  </si>
  <si>
    <t xml:space="preserve">Tire kit cover | nominal67x10 | included3 screws not dimensioned001</t>
  </si>
  <si>
    <t xml:space="preserve">CasterAdapter</t>
  </si>
  <si>
    <t xml:space="preserve">A5052 t4 | direct to frame | no6mm spacers</t>
  </si>
  <si>
    <t xml:space="preserve">Washer_CasterFrame0</t>
  </si>
  <si>
    <t xml:space="preserve">Washer CasterFrame0</t>
  </si>
  <si>
    <t xml:space="preserve">CasterFrameBolt_0</t>
  </si>
  <si>
    <t xml:space="preserve">CasterFrameBolt 0</t>
  </si>
  <si>
    <t xml:space="preserve">SlotNut_Caster_0</t>
  </si>
  <si>
    <t xml:space="preserve">HNTT6-6 | catalog6.3 thick, tapered nominal profile028</t>
  </si>
  <si>
    <t xml:space="preserve">Washer_CasterFrame1</t>
  </si>
  <si>
    <t xml:space="preserve">Washer CasterFrame1</t>
  </si>
  <si>
    <t xml:space="preserve">CasterFrameBolt_1</t>
  </si>
  <si>
    <t xml:space="preserve">CasterFrameBolt 1</t>
  </si>
  <si>
    <t xml:space="preserve">SlotNut_Caster_1</t>
  </si>
  <si>
    <t xml:space="preserve">HNTT6-6 | catalog6.3 thick, tapered nominal profile029</t>
  </si>
  <si>
    <t xml:space="preserve">Washer_CasterFrame2</t>
  </si>
  <si>
    <t xml:space="preserve">Washer CasterFrame2</t>
  </si>
  <si>
    <t xml:space="preserve">CasterFrameBolt_2</t>
  </si>
  <si>
    <t xml:space="preserve">CasterFrameBolt 2</t>
  </si>
  <si>
    <t xml:space="preserve">SlotNut_Caster_2</t>
  </si>
  <si>
    <t xml:space="preserve">HNTT6-6 | catalog6.3 thick, tapered nominal profile030</t>
  </si>
  <si>
    <t xml:space="preserve">Washer_CasterFrame3</t>
  </si>
  <si>
    <t xml:space="preserve">Washer CasterFrame3</t>
  </si>
  <si>
    <t xml:space="preserve">CasterFrameBolt_3</t>
  </si>
  <si>
    <t xml:space="preserve">CasterFrameBolt 3</t>
  </si>
  <si>
    <t xml:space="preserve">SlotNut_Caster_3</t>
  </si>
  <si>
    <t xml:space="preserve">HNTT6-6 | catalog6.3 thick, tapered nominal profile031</t>
  </si>
  <si>
    <t xml:space="preserve">CasterTop</t>
  </si>
  <si>
    <t xml:space="preserve">Hammer420G-R50 | unchanged</t>
  </si>
  <si>
    <t xml:space="preserve">CasterBolt_0</t>
  </si>
  <si>
    <t xml:space="preserve">CasterBolt 0</t>
  </si>
  <si>
    <t xml:space="preserve">Nut_CasterBolt_0</t>
  </si>
  <si>
    <t xml:space="preserve">Nut CasterBolt 0</t>
  </si>
  <si>
    <t xml:space="preserve">CasterBolt_1</t>
  </si>
  <si>
    <t xml:space="preserve">CasterBolt 1</t>
  </si>
  <si>
    <t xml:space="preserve">Nut_CasterBolt_1</t>
  </si>
  <si>
    <t xml:space="preserve">Nut CasterBolt 1</t>
  </si>
  <si>
    <t xml:space="preserve">CasterBolt_2</t>
  </si>
  <si>
    <t xml:space="preserve">CasterBolt 2</t>
  </si>
  <si>
    <t xml:space="preserve">Nut_CasterBolt_2</t>
  </si>
  <si>
    <t xml:space="preserve">Nut CasterBolt 2</t>
  </si>
  <si>
    <t xml:space="preserve">CasterBolt_3</t>
  </si>
  <si>
    <t xml:space="preserve">CasterBolt 3</t>
  </si>
  <si>
    <t xml:space="preserve">Nut_CasterBolt_3</t>
  </si>
  <si>
    <t xml:space="preserve">Nut CasterBolt 3</t>
  </si>
  <si>
    <t xml:space="preserve">SwivelRace</t>
  </si>
  <si>
    <t xml:space="preserve">CasterFork</t>
  </si>
  <si>
    <t xml:space="preserve">CasterTire</t>
  </si>
  <si>
    <t xml:space="preserve">CasterCore</t>
  </si>
  <si>
    <t xml:space="preserve">BatteryCradlePLA</t>
  </si>
  <si>
    <t xml:space="preserve">PLA low battery cradle130x160 | floor32..35</t>
  </si>
  <si>
    <t xml:space="preserve">LargeWasher_Cradle0</t>
  </si>
  <si>
    <t xml:space="preserve">LargeWasher Cradle0</t>
  </si>
  <si>
    <t xml:space="preserve">CradleBolt_0</t>
  </si>
  <si>
    <t xml:space="preserve">CradleBolt 0</t>
  </si>
  <si>
    <t xml:space="preserve">SlotNut_Cradle_0</t>
  </si>
  <si>
    <t xml:space="preserve">HNTT6-6 | catalog6.3 thick, tapered nominal profile032</t>
  </si>
  <si>
    <t xml:space="preserve">LargeWasher_Cradle1</t>
  </si>
  <si>
    <t xml:space="preserve">LargeWasher Cradle1</t>
  </si>
  <si>
    <t xml:space="preserve">CradleBolt_1</t>
  </si>
  <si>
    <t xml:space="preserve">CradleBolt 1</t>
  </si>
  <si>
    <t xml:space="preserve">SlotNut_Cradle_1</t>
  </si>
  <si>
    <t xml:space="preserve">HNTT6-6 | catalog6.3 thick, tapered nominal profile033</t>
  </si>
  <si>
    <t xml:space="preserve">LargeWasher_Cradle2</t>
  </si>
  <si>
    <t xml:space="preserve">LargeWasher Cradle2</t>
  </si>
  <si>
    <t xml:space="preserve">CradleBolt_2</t>
  </si>
  <si>
    <t xml:space="preserve">CradleBolt 2</t>
  </si>
  <si>
    <t xml:space="preserve">SlotNut_Cradle_2</t>
  </si>
  <si>
    <t xml:space="preserve">HNTT6-6 | catalog6.3 thick, tapered nominal profile034</t>
  </si>
  <si>
    <t xml:space="preserve">LargeWasher_Cradle3</t>
  </si>
  <si>
    <t xml:space="preserve">LargeWasher Cradle3</t>
  </si>
  <si>
    <t xml:space="preserve">CradleBolt_3</t>
  </si>
  <si>
    <t xml:space="preserve">CradleBolt 3</t>
  </si>
  <si>
    <t xml:space="preserve">SlotNut_Cradle_3</t>
  </si>
  <si>
    <t xml:space="preserve">HNTT6-6 | catalog6.3 thick, tapered nominal profile035</t>
  </si>
  <si>
    <t xml:space="preserve">ElectronicsTrayPLA</t>
  </si>
  <si>
    <t xml:space="preserve">PLA rear electronics deck85x180 | low battery access kept clear</t>
  </si>
  <si>
    <t xml:space="preserve">LargeWasher_Electronics0</t>
  </si>
  <si>
    <t xml:space="preserve">LargeWasher Electronics0</t>
  </si>
  <si>
    <t xml:space="preserve">ElectronicsBolt_0</t>
  </si>
  <si>
    <t xml:space="preserve">ElectronicsBolt 0</t>
  </si>
  <si>
    <t xml:space="preserve">SlotNut_Electronics_0</t>
  </si>
  <si>
    <t xml:space="preserve">HNTT6-6 | catalog6.3 thick, tapered nominal profile036</t>
  </si>
  <si>
    <t xml:space="preserve">LargeWasher_Electronics1</t>
  </si>
  <si>
    <t xml:space="preserve">LargeWasher Electronics1</t>
  </si>
  <si>
    <t xml:space="preserve">ElectronicsBolt_1</t>
  </si>
  <si>
    <t xml:space="preserve">ElectronicsBolt 1</t>
  </si>
  <si>
    <t xml:space="preserve">SlotNut_Electronics_1</t>
  </si>
  <si>
    <t xml:space="preserve">HNTT6-6 | catalog6.3 thick, tapered nominal profile037</t>
  </si>
  <si>
    <t xml:space="preserve">LargeWasher_Electronics2</t>
  </si>
  <si>
    <t xml:space="preserve">LargeWasher Electronics2</t>
  </si>
  <si>
    <t xml:space="preserve">ElectronicsBolt_2</t>
  </si>
  <si>
    <t xml:space="preserve">ElectronicsBolt 2</t>
  </si>
  <si>
    <t xml:space="preserve">SlotNut_Electronics_2</t>
  </si>
  <si>
    <t xml:space="preserve">HNTT6-6 | catalog6.3 thick, tapered nominal profile038</t>
  </si>
  <si>
    <t xml:space="preserve">LargeWasher_Electronics3</t>
  </si>
  <si>
    <t xml:space="preserve">LargeWasher Electronics3</t>
  </si>
  <si>
    <t xml:space="preserve">ElectronicsBolt_3</t>
  </si>
  <si>
    <t xml:space="preserve">ElectronicsBolt 3</t>
  </si>
  <si>
    <t xml:space="preserve">SlotNut_Electronics_3</t>
  </si>
  <si>
    <t xml:space="preserve">HNTT6-6 | catalog6.3 thick, tapered nominal profile039</t>
  </si>
  <si>
    <t xml:space="preserve">FrontElectronicsTrayPLA</t>
  </si>
  <si>
    <t xml:space="preserve">PLA front deck145x170 |battery access notch</t>
  </si>
  <si>
    <t xml:space="preserve">LargeWasher_Front0</t>
  </si>
  <si>
    <t xml:space="preserve">LargeWasher Front0</t>
  </si>
  <si>
    <t xml:space="preserve">FrontDeckBolt_0</t>
  </si>
  <si>
    <t xml:space="preserve">FrontDeckBolt 0</t>
  </si>
  <si>
    <t xml:space="preserve">SlotNut_FrontDeck_0</t>
  </si>
  <si>
    <t xml:space="preserve">HNTT6-6 | catalog6.3 thick, tapered nominal profile040</t>
  </si>
  <si>
    <t xml:space="preserve">LargeWasher_Front1</t>
  </si>
  <si>
    <t xml:space="preserve">LargeWasher Front1</t>
  </si>
  <si>
    <t xml:space="preserve">FrontDeckBolt_1</t>
  </si>
  <si>
    <t xml:space="preserve">FrontDeckBolt 1</t>
  </si>
  <si>
    <t xml:space="preserve">SlotNut_FrontDeck_1</t>
  </si>
  <si>
    <t xml:space="preserve">HNTT6-6 | catalog6.3 thick, tapered nominal profile041</t>
  </si>
  <si>
    <t xml:space="preserve">LargeWasher_Front2</t>
  </si>
  <si>
    <t xml:space="preserve">LargeWasher Front2</t>
  </si>
  <si>
    <t xml:space="preserve">FrontDeckBolt_2</t>
  </si>
  <si>
    <t xml:space="preserve">FrontDeckBolt 2</t>
  </si>
  <si>
    <t xml:space="preserve">SlotNut_FrontDeck_2</t>
  </si>
  <si>
    <t xml:space="preserve">HNTT6-6 | catalog6.3 thick, tapered nominal profile042</t>
  </si>
  <si>
    <t xml:space="preserve">LargeWasher_Front3</t>
  </si>
  <si>
    <t xml:space="preserve">LargeWasher Front3</t>
  </si>
  <si>
    <t xml:space="preserve">FrontDeckBolt_3</t>
  </si>
  <si>
    <t xml:space="preserve">FrontDeckBolt 3</t>
  </si>
  <si>
    <t xml:space="preserve">SlotNut_FrontDeck_3</t>
  </si>
  <si>
    <t xml:space="preserve">HNTT6-6 | catalog6.3 thick, tapered nominal profile043</t>
  </si>
  <si>
    <t xml:space="preserve">MotorSeatWasher_0L</t>
  </si>
  <si>
    <t xml:space="preserve">FW-2505-05EB | 2.7x5x0.5 | L</t>
  </si>
  <si>
    <t xml:space="preserve">MotorSeatWasher_1L</t>
  </si>
  <si>
    <t xml:space="preserve">FW-2505-05EB | 2.7x5x0.5 | L001</t>
  </si>
  <si>
    <t xml:space="preserve">MotorSeatWasher_2L</t>
  </si>
  <si>
    <t xml:space="preserve">FW-2505-05EB | 2.7x5x0.5 | L002</t>
  </si>
  <si>
    <t xml:space="preserve">MotorSeatWasher_0R</t>
  </si>
  <si>
    <t xml:space="preserve">FW-2505-05EB | 2.7x5x0.5 | R</t>
  </si>
  <si>
    <t xml:space="preserve">MotorSeatWasher_1R</t>
  </si>
  <si>
    <t xml:space="preserve">FW-2505-05EB | 2.7x5x0.5 | R001</t>
  </si>
  <si>
    <t xml:space="preserve">MotorSeatWasher_2R</t>
  </si>
  <si>
    <t xml:space="preserve">FW-2505-05EB | 2.7x5x0.5 | R002</t>
  </si>
  <si>
    <t xml:space="preserve">CargoDeckPlate</t>
  </si>
  <si>
    <t xml:space="preserve">A5052 cargo plate 300x300x4 | top Z118</t>
  </si>
  <si>
    <t xml:space="preserve">CargoDeckSupportR</t>
  </si>
  <si>
    <t xml:space="preserve">Al solid bar 15x15 L300 | continuous rail bearing</t>
  </si>
  <si>
    <t xml:space="preserve">CargoDeckSupportL</t>
  </si>
  <si>
    <t xml:space="preserve">Al solid bar 15x15 L300 | continuous rail bearing001</t>
  </si>
  <si>
    <t xml:space="preserve">CargoStopXP</t>
  </si>
  <si>
    <t xml:space="preserve">Al stop 15x15 L50 | inner face102 | not a lifting point</t>
  </si>
  <si>
    <t xml:space="preserve">CargoStopXN</t>
  </si>
  <si>
    <t xml:space="preserve">Al stop 15x15 L50 | inner face102 | not a lifting point001</t>
  </si>
  <si>
    <t xml:space="preserve">CargoStopYP</t>
  </si>
  <si>
    <t xml:space="preserve">Al stop 15x15 L50 | inner face102 | not a lifting point002</t>
  </si>
  <si>
    <t xml:space="preserve">CargoStopYN</t>
  </si>
  <si>
    <t xml:space="preserve">Al stop 15x15 L50 | inner face102 | not a lifting point003</t>
  </si>
  <si>
    <t xml:space="preserve">CargoDeckWasher0_0</t>
  </si>
  <si>
    <t xml:space="preserve">CargoDeckWasher0_1</t>
  </si>
  <si>
    <t xml:space="preserve">CargoDeckBolt0</t>
  </si>
  <si>
    <t xml:space="preserve">SlotNut_CargoDeck0</t>
  </si>
  <si>
    <t xml:space="preserve">CargoDeckWasher1_0</t>
  </si>
  <si>
    <t xml:space="preserve">CargoDeckWasher1_1</t>
  </si>
  <si>
    <t xml:space="preserve">CargoDeckBolt1</t>
  </si>
  <si>
    <t xml:space="preserve">SlotNut_CargoDeck1</t>
  </si>
  <si>
    <t xml:space="preserve">CargoDeckWasher2_0</t>
  </si>
  <si>
    <t xml:space="preserve">CargoDeckWasher2_1</t>
  </si>
  <si>
    <t xml:space="preserve">CargoDeckBolt2</t>
  </si>
  <si>
    <t xml:space="preserve">SlotNut_CargoDeck2</t>
  </si>
  <si>
    <t xml:space="preserve">CargoDeckWasher3_0</t>
  </si>
  <si>
    <t xml:space="preserve">CargoDeckWasher3_1</t>
  </si>
  <si>
    <t xml:space="preserve">CargoDeckBolt3</t>
  </si>
  <si>
    <t xml:space="preserve">SlotNut_CargoDeck3</t>
  </si>
  <si>
    <t xml:space="preserve">CargoDeckWasher4_0</t>
  </si>
  <si>
    <t xml:space="preserve">CargoDeckWasher4_1</t>
  </si>
  <si>
    <t xml:space="preserve">CargoDeckBolt4</t>
  </si>
  <si>
    <t xml:space="preserve">SlotNut_CargoDeck4</t>
  </si>
  <si>
    <t xml:space="preserve">CargoDeckWasher5_0</t>
  </si>
  <si>
    <t xml:space="preserve">CargoDeckWasher5_1</t>
  </si>
  <si>
    <t xml:space="preserve">CargoDeckBolt5</t>
  </si>
  <si>
    <t xml:space="preserve">SlotNut_CargoDeck5</t>
  </si>
  <si>
    <t xml:space="preserve">CargoStopBolt0</t>
  </si>
  <si>
    <t xml:space="preserve">CargoStopWasher0</t>
  </si>
  <si>
    <t xml:space="preserve">CargoStopNut0</t>
  </si>
  <si>
    <t xml:space="preserve">CargoStopBolt1</t>
  </si>
  <si>
    <t xml:space="preserve">CargoStopWasher1</t>
  </si>
  <si>
    <t xml:space="preserve">CargoStopNut1</t>
  </si>
  <si>
    <t xml:space="preserve">CargoStopBolt2</t>
  </si>
  <si>
    <t xml:space="preserve">CargoStopWasher2</t>
  </si>
  <si>
    <t xml:space="preserve">CargoStopNut2</t>
  </si>
  <si>
    <t xml:space="preserve">CargoStopBolt3</t>
  </si>
  <si>
    <t xml:space="preserve">CargoStopWasher3</t>
  </si>
  <si>
    <t xml:space="preserve">CargoStopNut3</t>
  </si>
  <si>
    <t xml:space="preserve">CargoStopBolt4</t>
  </si>
  <si>
    <t xml:space="preserve">CargoStopWasher4</t>
  </si>
  <si>
    <t xml:space="preserve">CargoStopNut4</t>
  </si>
  <si>
    <t xml:space="preserve">CargoStopBolt5</t>
  </si>
  <si>
    <t xml:space="preserve">CargoStopWasher5</t>
  </si>
  <si>
    <t xml:space="preserve">CargoStopNut5</t>
  </si>
  <si>
    <t xml:space="preserve">CargoStopBolt6</t>
  </si>
  <si>
    <t xml:space="preserve">CargoStopWasher6</t>
  </si>
  <si>
    <t xml:space="preserve">CargoStopNut6</t>
  </si>
  <si>
    <t xml:space="preserve">CargoStopBolt7</t>
  </si>
  <si>
    <t xml:space="preserve">CargoStopWasher7</t>
  </si>
  <si>
    <t xml:space="preserve">CargoStopNut7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</si>
</sst>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円&quot;"/>
    <numFmt numFmtId="166" formatCode="0.00&quot; USD&quot;"/>
    <numFmt numFmtId="167" formatCode="0.000&quot; kg&quot;"/>
    <numFmt numFmtId="168" formatCode="0&quot; 点&quot;"/>
    <numFmt numFmtId="169" formatCode="0&quot; 円&quot;"/>
    <numFmt numFmtId="170" formatCode="0"/>
    <numFmt numFmtId="171" formatCode="#,##0.00;[RED]\-#,##0.00;0"/>
    <numFmt numFmtId="172" formatCode="#,##0"/>
    <numFmt numFmtId="173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Noto Sans CJK JP"/>
      <family val="0"/>
      <charset val="1"/>
    </font>
    <font>
      <sz val="10"/>
      <color rgb="FF526575"/>
      <name val="Noto Sans CJK JP"/>
      <family val="0"/>
      <charset val="1"/>
    </font>
    <font>
      <b val="true"/>
      <sz val="10"/>
      <color rgb="FFFFFFFF"/>
      <name val="Noto Sans CJK JP"/>
      <family val="0"/>
      <charset val="1"/>
    </font>
    <font>
      <sz val="10"/>
      <color rgb="FF18364A"/>
      <name val="Noto Sans CJK JP"/>
      <family val="0"/>
      <charset val="1"/>
    </font>
    <font>
      <b val="true"/>
      <sz val="17"/>
      <color rgb="FF147D92"/>
      <name val="Noto Sans CJK JP"/>
      <family val="0"/>
      <charset val="1"/>
    </font>
    <font>
      <sz val="10"/>
      <color rgb="FF0563C1"/>
      <name val="Noto Sans CJK JP"/>
      <family val="0"/>
      <charset val="1"/>
    </font>
    <font>
      <u val="single"/>
      <sz val="10"/>
      <color rgb="FF0563C1"/>
      <name val="Noto Sans CJK JP"/>
      <family val="0"/>
      <charset val="1"/>
    </font>
    <font>
      <sz val="12"/>
      <color theme="10"/>
      <name val="Noto Sans CJK SC"/>
      <family val="2"/>
    </font>
    <font>
      <sz val="12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8364A"/>
        <bgColor rgb="FF333333"/>
      </patternFill>
    </fill>
    <fill>
      <patternFill patternType="solid">
        <fgColor rgb="FF147D92"/>
        <bgColor rgb="FF008080"/>
      </patternFill>
    </fill>
    <fill>
      <patternFill patternType="solid">
        <fgColor rgb="FFF0F5F8"/>
        <bgColor rgb="FFFFFFFF"/>
      </patternFill>
    </fill>
    <fill>
      <patternFill patternType="solid">
        <fgColor rgb="FFFFF2CC"/>
        <bgColor rgb="FFF0F5F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5" fontId="8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7" fontId="7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8" fontId="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9" fontId="7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1" fontId="9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2" fontId="7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2" fontId="7" fillId="5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ill>
        <patternFill patternType="solid">
          <fgColor rgb="FF147D92"/>
          <bgColor rgb="FF000000"/>
        </patternFill>
      </fill>
    </dxf>
    <dxf>
      <fill>
        <patternFill patternType="solid">
          <fgColor rgb="FFF0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836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D92"/>
      <rgbColor rgb="FFC0C0C0"/>
      <rgbColor rgb="FF808080"/>
      <rgbColor rgb="FF9999FF"/>
      <rgbColor rgb="FF993366"/>
      <rgbColor rgb="FFFFF2CC"/>
      <rgbColor rgb="FFF0F5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575"/>
      <rgbColor rgb="FF969696"/>
      <rgbColor rgb="FF1836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OMTable1" displayName="BOMTable1" ref="A4:C17" headerRowCount="1" totalsRowCount="0" totalsRowShown="0">
  <autoFilter ref="A4:C17"/>
  <tableColumns count="3">
    <tableColumn id="1" name="項目"/>
    <tableColumn id="2" name="値"/>
    <tableColumn id="3" name="説明"/>
  </tableColumns>
</table>
</file>

<file path=xl/tables/table2.xml><?xml version="1.0" encoding="utf-8"?>
<table xmlns="http://schemas.openxmlformats.org/spreadsheetml/2006/main" id="2" name="BOMTable2" displayName="BOMTable2" ref="A4:K44" headerRowCount="1" totalsRowCount="0" totalsRowShown="0">
  <autoFilter ref="A4:K44"/>
  <tableColumns count="11">
    <tableColumn id="1" name="ID"/>
    <tableColumn id="2" name="品名・仕様"/>
    <tableColumn id="3" name="使用数"/>
    <tableColumn id="4" name="購入予定単位"/>
    <tableColumn id="5" name="口数"/>
    <tableColumn id="6" name="購入単位単価"/>
    <tableColumn id="7" name="明細金額"/>
    <tableColumn id="8" name="通貨"/>
    <tableColumn id="9" name="根拠・選定状況"/>
    <tableColumn id="10" name="出典"/>
    <tableColumn id="11" name="備考"/>
  </tableColumns>
</table>
</file>

<file path=xl/tables/table3.xml><?xml version="1.0" encoding="utf-8"?>
<table xmlns="http://schemas.openxmlformats.org/spreadsheetml/2006/main" id="3" name="BOMTable3" displayName="BOMTable3" ref="A4:F19" headerRowCount="1" totalsRowCount="0" totalsRowShown="0">
  <autoFilter ref="A4:F19"/>
  <tableColumns count="6">
    <tableColumn id="1" name="仕様"/>
    <tableColumn id="2" name="使用数"/>
    <tableColumn id="3" name="セット付属"/>
    <tableColumn id="4" name="別途必要数"/>
    <tableColumn id="5" name="費用計上先"/>
    <tableColumn id="6" name="備考"/>
  </tableColumns>
</table>
</file>

<file path=xl/tables/table4.xml><?xml version="1.0" encoding="utf-8"?>
<table xmlns="http://schemas.openxmlformats.org/spreadsheetml/2006/main" id="4" name="BOMTable4" displayName="BOMTable4" ref="A4:H13" headerRowCount="1" totalsRowCount="0" totalsRowShown="0">
  <autoFilter ref="A4:H13"/>
  <tableColumns count="8">
    <tableColumn id="1" name="ID"/>
    <tableColumn id="2" name="部品"/>
    <tableColumn id="3" name="数量"/>
    <tableColumn id="4" name="材質・寸法"/>
    <tableColumn id="5" name="製作方法"/>
    <tableColumn id="6" name="費用計上先"/>
    <tableColumn id="7" name="設計資料"/>
    <tableColumn id="8" name="備考"/>
  </tableColumns>
</table>
</file>

<file path=xl/tables/table5.xml><?xml version="1.0" encoding="utf-8"?>
<table xmlns="http://schemas.openxmlformats.org/spreadsheetml/2006/main" id="5" name="BOMTable5" displayName="BOMTable5" ref="A4:F24" headerRowCount="1" totalsRowCount="0" totalsRowShown="0">
  <autoFilter ref="A4:F24"/>
  <tableColumns count="6">
    <tableColumn id="1" name="ID"/>
    <tableColumn id="2" name="必要なもの"/>
    <tableColumn id="3" name="必要数量"/>
    <tableColumn id="4" name="仕様の出発点"/>
    <tableColumn id="5" name="残る決定"/>
    <tableColumn id="6" name="段階"/>
  </tableColumns>
</table>
</file>

<file path=xl/tables/table6.xml><?xml version="1.0" encoding="utf-8"?>
<table xmlns="http://schemas.openxmlformats.org/spreadsheetml/2006/main" id="6" name="BOMTable6" displayName="BOMTable6" ref="A4:E226" headerRowCount="1" totalsRowCount="0" totalsRowShown="0">
  <autoFilter ref="A4:E226"/>
  <tableColumns count="5">
    <tableColumn id="1" name="CADオブジェクト"/>
    <tableColumn id="2" name="費用ID"/>
    <tableColumn id="3" name="ラベル"/>
    <tableColumn id="4" name="材料区分"/>
    <tableColumn id="5" name="締結仕様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mazon.co.jp/dp/B0DKF2CCW3" TargetMode="External"/><Relationship Id="rId2" Type="http://schemas.openxmlformats.org/officeDocument/2006/relationships/hyperlink" Target="https://www.amazon.co.jp/dp/B0DKDZ8G9G" TargetMode="External"/><Relationship Id="rId3" Type="http://schemas.openxmlformats.org/officeDocument/2006/relationships/hyperlink" Target="https://jp.misumi-ec.com/vona2/detail/110300442340/" TargetMode="External"/><Relationship Id="rId4" Type="http://schemas.openxmlformats.org/officeDocument/2006/relationships/hyperlink" Target="https://jp.misumi-ec.com/vona2/detail/110302610850/" TargetMode="External"/><Relationship Id="rId5" Type="http://schemas.openxmlformats.org/officeDocument/2006/relationships/hyperlink" Target="https://nafco-online.com/products/detail.php?product_id=25655902" TargetMode="External"/><Relationship Id="rId6" Type="http://schemas.openxmlformats.org/officeDocument/2006/relationships/hyperlink" Target="https://www.switch-science.com/products/9203" TargetMode="External"/><Relationship Id="rId7" Type="http://schemas.openxmlformats.org/officeDocument/2006/relationships/hyperlink" Target="https://jlccnc.com/jp/cnc-machining-quote" TargetMode="External"/><Relationship Id="rId8" Type="http://schemas.openxmlformats.org/officeDocument/2006/relationships/hyperlink" Target="https://www.monotaro.com/p/4993/2618/" TargetMode="External"/><Relationship Id="rId9" Type="http://schemas.openxmlformats.org/officeDocument/2006/relationships/hyperlink" Target="https://store.shopping.yahoo.co.jp/akibaoo/4977720061511.html" TargetMode="External"/><Relationship Id="rId10" Type="http://schemas.openxmlformats.org/officeDocument/2006/relationships/hyperlink" Target="https://store.shopping.yahoo.co.jp/hcbrico/4977292226752.html" TargetMode="External"/><Relationship Id="rId11" Type="http://schemas.openxmlformats.org/officeDocument/2006/relationships/hyperlink" Target="https://wilco.jp/products/F/FW-EB.html" TargetMode="External"/><Relationship Id="rId12" Type="http://schemas.openxmlformats.org/officeDocument/2006/relationships/hyperlink" Target="https://www.monotaro.com/p/6051/3817/" TargetMode="External"/><Relationship Id="rId13" Type="http://schemas.openxmlformats.org/officeDocument/2006/relationships/hyperlink" Target="https://jp.rs-online.com/web/p/power-relays/0369466" TargetMode="External"/><Relationship Id="rId14" Type="http://schemas.openxmlformats.org/officeDocument/2006/relationships/hyperlink" Target="https://akizukidenshi.com/catalog/g/g118085/" TargetMode="External"/><Relationship Id="rId15" Type="http://schemas.openxmlformats.org/officeDocument/2006/relationships/hyperlink" Target="https://eleshop.jp/shop/g/gT11488/" TargetMode="External"/><Relationship Id="rId16" Type="http://schemas.openxmlformats.org/officeDocument/2006/relationships/hyperlink" Target="https://eleshop.jp/shop/g/gT11476/" TargetMode="External"/><Relationship Id="rId17" Type="http://schemas.openxmlformats.org/officeDocument/2006/relationships/hyperlink" Target="https://akizukidenshi.com/catalog/g/g113536/" TargetMode="External"/><Relationship Id="rId18" Type="http://schemas.openxmlformats.org/officeDocument/2006/relationships/hyperlink" Target="https://akizukidenshi.com/catalog/g/g116211/" TargetMode="External"/><Relationship Id="rId19" Type="http://schemas.openxmlformats.org/officeDocument/2006/relationships/hyperlink" Target="https://www.monotaro.com/g/02255191/" TargetMode="External"/><Relationship Id="rId20" Type="http://schemas.openxmlformats.org/officeDocument/2006/relationships/hyperlink" Target="https://akizukidenshi.com/catalog/g/g116987/" TargetMode="External"/><Relationship Id="rId21" Type="http://schemas.openxmlformats.org/officeDocument/2006/relationships/hyperlink" Target="https://akizukidenshi.com/catalog/g/g112018/" TargetMode="External"/><Relationship Id="rId22" Type="http://schemas.openxmlformats.org/officeDocument/2006/relationships/hyperlink" Target="https://akizukidenshi.com/catalog/g/g102414/" TargetMode="External"/><Relationship Id="rId23" Type="http://schemas.openxmlformats.org/officeDocument/2006/relationships/hyperlink" Target="https://akizukidenshi.com/catalog/g/g113464/" TargetMode="External"/><Relationship Id="rId24" Type="http://schemas.openxmlformats.org/officeDocument/2006/relationships/hyperlink" Target="https://akizukidenshi.com/catalog/g/g116378/" TargetMode="External"/><Relationship Id="rId25" Type="http://schemas.openxmlformats.org/officeDocument/2006/relationships/hyperlink" Target="https://nafco-online.com/products/detail.php?product_id=25655902" TargetMode="External"/><Relationship Id="rId26" Type="http://schemas.openxmlformats.org/officeDocument/2006/relationships/hyperlink" Target="https://www.switch-science.com/policies/shipping-policy" TargetMode="External"/><Relationship Id="rId27" Type="http://schemas.openxmlformats.org/officeDocument/2006/relationships/hyperlink" Target="https://jlccnc.com/jp/cnc-machining-quote" TargetMode="External"/><Relationship Id="rId28" Type="http://schemas.openxmlformats.org/officeDocument/2006/relationships/drawing" Target="../drawings/drawing2.xml"/><Relationship Id="rId29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sige0002/amr-pj/blob/main/cad/amr07/M0601C_mount_A6_R1.step" TargetMode="External"/><Relationship Id="rId2" Type="http://schemas.openxmlformats.org/officeDocument/2006/relationships/hyperlink" Target="https://github.com/sige0002/amr-pj/blob/main/cad/amr07/AMR01_M0601C_A6.FCStd" TargetMode="External"/><Relationship Id="rId3" Type="http://schemas.openxmlformats.org/officeDocument/2006/relationships/hyperlink" Target="https://github.com/sige0002/amr-pj/blob/main/cad/amr07/AMR01_M0601C_A6.FCStd" TargetMode="External"/><Relationship Id="rId4" Type="http://schemas.openxmlformats.org/officeDocument/2006/relationships/hyperlink" Target="https://github.com/sige0002/amr-pj/blob/main/cad/amr07/DECK_REVIEW.ja.md" TargetMode="External"/><Relationship Id="rId5" Type="http://schemas.openxmlformats.org/officeDocument/2006/relationships/hyperlink" Target="https://github.com/sige0002/amr-pj/blob/main/cad/amr07/DECK_REVIEW.ja.md" TargetMode="External"/><Relationship Id="rId6" Type="http://schemas.openxmlformats.org/officeDocument/2006/relationships/hyperlink" Target="https://github.com/sige0002/amr-pj/blob/main/cad/amr07/DECK_REVIEW.ja.md" TargetMode="External"/><Relationship Id="rId7" Type="http://schemas.openxmlformats.org/officeDocument/2006/relationships/hyperlink" Target="https://github.com/sige0002/amr-pj/blob/main/cad/amr07/AMR01_M0601C_A6.FCStd" TargetMode="External"/><Relationship Id="rId8" Type="http://schemas.openxmlformats.org/officeDocument/2006/relationships/hyperlink" Target="https://github.com/sige0002/amr-pj/blob/main/cad/amr07/AMR01_M0601C_A6.FCStd" TargetMode="External"/><Relationship Id="rId9" Type="http://schemas.openxmlformats.org/officeDocument/2006/relationships/hyperlink" Target="https://github.com/sige0002/amr-pj/blob/main/cad/amr07/AMR01_M0601C_A6.FCStd" TargetMode="External"/><Relationship Id="rId10" Type="http://schemas.openxmlformats.org/officeDocument/2006/relationships/drawing" Target="../drawings/drawing4.xml"/><Relationship Id="rId1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50"/>
    <col collapsed="false" customWidth="true" hidden="false" outlineLevel="0" max="3" min="3" style="0" width="77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33.75" hidden="false" customHeight="true" outlineLevel="0" collapsed="false">
      <c r="A2" s="2" t="s">
        <v>1</v>
      </c>
      <c r="B2" s="2"/>
      <c r="C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42" hidden="false" customHeight="true" outlineLevel="0" collapsed="false">
      <c r="A5" s="4" t="s">
        <v>5</v>
      </c>
      <c r="B5" s="5" t="n">
        <f aca="false">SUMIF(購入品!H5:H44,"JPY",購入品!G5:G44)</f>
        <v>54414</v>
      </c>
      <c r="C5" s="4" t="s">
        <v>6</v>
      </c>
    </row>
    <row r="6" customFormat="false" ht="42" hidden="false" customHeight="true" outlineLevel="0" collapsed="false">
      <c r="A6" s="6" t="s">
        <v>7</v>
      </c>
      <c r="B6" s="7" t="n">
        <f aca="false">SUMIF(購入品!H5:H44,"USD",購入品!G5:G44)</f>
        <v>82.25</v>
      </c>
      <c r="C6" s="6" t="s">
        <v>8</v>
      </c>
    </row>
    <row r="7" customFormat="false" ht="42" hidden="false" customHeight="true" outlineLevel="0" collapsed="false">
      <c r="A7" s="4" t="s">
        <v>9</v>
      </c>
      <c r="B7" s="8" t="s">
        <v>10</v>
      </c>
      <c r="C7" s="4" t="s">
        <v>11</v>
      </c>
    </row>
    <row r="8" customFormat="false" ht="42" hidden="false" customHeight="true" outlineLevel="0" collapsed="false">
      <c r="A8" s="6" t="s">
        <v>12</v>
      </c>
      <c r="B8" s="9" t="s">
        <v>13</v>
      </c>
      <c r="C8" s="6" t="s">
        <v>14</v>
      </c>
    </row>
    <row r="9" customFormat="false" ht="42" hidden="false" customHeight="true" outlineLevel="0" collapsed="false">
      <c r="A9" s="4" t="s">
        <v>15</v>
      </c>
      <c r="B9" s="10" t="n">
        <v>8.73314316476638</v>
      </c>
      <c r="C9" s="4" t="s">
        <v>16</v>
      </c>
    </row>
    <row r="10" customFormat="false" ht="42" hidden="false" customHeight="true" outlineLevel="0" collapsed="false">
      <c r="A10" s="6" t="s">
        <v>17</v>
      </c>
      <c r="B10" s="11" t="n">
        <v>222</v>
      </c>
      <c r="C10" s="6" t="s">
        <v>18</v>
      </c>
    </row>
    <row r="11" customFormat="false" ht="42" hidden="false" customHeight="true" outlineLevel="0" collapsed="false">
      <c r="A11" s="4" t="s">
        <v>19</v>
      </c>
      <c r="B11" s="12" t="n">
        <v>29</v>
      </c>
      <c r="C11" s="4" t="s">
        <v>20</v>
      </c>
    </row>
    <row r="12" customFormat="false" ht="42" hidden="false" customHeight="true" outlineLevel="0" collapsed="false">
      <c r="A12" s="6" t="s">
        <v>21</v>
      </c>
      <c r="B12" s="9" t="s">
        <v>22</v>
      </c>
      <c r="C12" s="6" t="s">
        <v>23</v>
      </c>
    </row>
    <row r="13" customFormat="false" ht="42" hidden="false" customHeight="true" outlineLevel="0" collapsed="false">
      <c r="A13" s="4" t="s">
        <v>24</v>
      </c>
      <c r="B13" s="8" t="s">
        <v>25</v>
      </c>
      <c r="C13" s="4" t="s">
        <v>26</v>
      </c>
    </row>
    <row r="14" customFormat="false" ht="42" hidden="false" customHeight="true" outlineLevel="0" collapsed="false">
      <c r="A14" s="6" t="s">
        <v>27</v>
      </c>
      <c r="B14" s="9" t="s">
        <v>28</v>
      </c>
      <c r="C14" s="6" t="s">
        <v>29</v>
      </c>
    </row>
    <row r="15" customFormat="false" ht="42" hidden="false" customHeight="true" outlineLevel="0" collapsed="false">
      <c r="A15" s="4" t="s">
        <v>30</v>
      </c>
      <c r="B15" s="8" t="s">
        <v>31</v>
      </c>
      <c r="C15" s="4" t="s">
        <v>32</v>
      </c>
    </row>
    <row r="16" customFormat="false" ht="42" hidden="false" customHeight="true" outlineLevel="0" collapsed="false">
      <c r="A16" s="6" t="s">
        <v>33</v>
      </c>
      <c r="B16" s="9" t="s">
        <v>34</v>
      </c>
      <c r="C16" s="6" t="s">
        <v>35</v>
      </c>
    </row>
    <row r="17" customFormat="false" ht="42" hidden="false" customHeight="true" outlineLevel="0" collapsed="false">
      <c r="A17" s="4" t="s">
        <v>36</v>
      </c>
      <c r="B17" s="8" t="s">
        <v>37</v>
      </c>
      <c r="C17" s="4" t="s">
        <v>38</v>
      </c>
    </row>
  </sheetData>
  <autoFilter ref="A4:C17"/>
  <mergeCells count="2">
    <mergeCell ref="A1:C1"/>
    <mergeCell ref="A2:C2"/>
  </mergeCells>
  <printOptions headings="false" gridLines="false" gridLinesSet="true" horizontalCentered="tru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&amp;CAMR-01 A6 | &amp;P /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9"/>
    <col collapsed="false" customWidth="true" hidden="false" outlineLevel="0" max="10" min="10" style="0" width="18"/>
    <col collapsed="false" customWidth="true" hidden="false" outlineLevel="0" max="11" min="11" style="0" width="74"/>
  </cols>
  <sheetData>
    <row r="1" customFormat="false" ht="33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</row>
    <row r="5" customFormat="false" ht="67.5" hidden="false" customHeight="true" outlineLevel="0" collapsed="false">
      <c r="A5" s="4" t="s">
        <v>52</v>
      </c>
      <c r="B5" s="4" t="s">
        <v>53</v>
      </c>
      <c r="C5" s="4" t="s">
        <v>54</v>
      </c>
      <c r="D5" s="4" t="s">
        <v>55</v>
      </c>
      <c r="E5" s="13" t="n">
        <v>1</v>
      </c>
      <c r="F5" s="14" t="n">
        <v>1952</v>
      </c>
      <c r="G5" s="15" t="n">
        <f aca="false">E5*F5</f>
        <v>1952</v>
      </c>
      <c r="H5" s="4" t="s">
        <v>56</v>
      </c>
      <c r="I5" s="4" t="s">
        <v>57</v>
      </c>
      <c r="J5" s="16" t="s">
        <v>58</v>
      </c>
      <c r="K5" s="4" t="s">
        <v>59</v>
      </c>
    </row>
    <row r="6" customFormat="false" ht="67.5" hidden="false" customHeight="true" outlineLevel="0" collapsed="false">
      <c r="A6" s="6" t="s">
        <v>60</v>
      </c>
      <c r="B6" s="6" t="s">
        <v>61</v>
      </c>
      <c r="C6" s="6" t="s">
        <v>62</v>
      </c>
      <c r="D6" s="6" t="s">
        <v>55</v>
      </c>
      <c r="E6" s="17" t="n">
        <v>1</v>
      </c>
      <c r="F6" s="18" t="n">
        <v>1467</v>
      </c>
      <c r="G6" s="19" t="n">
        <f aca="false">E6*F6</f>
        <v>1467</v>
      </c>
      <c r="H6" s="6" t="s">
        <v>56</v>
      </c>
      <c r="I6" s="6" t="s">
        <v>57</v>
      </c>
      <c r="J6" s="20" t="s">
        <v>58</v>
      </c>
      <c r="K6" s="6" t="s">
        <v>63</v>
      </c>
    </row>
    <row r="7" customFormat="false" ht="67.5" hidden="false" customHeight="true" outlineLevel="0" collapsed="false">
      <c r="A7" s="4" t="s">
        <v>64</v>
      </c>
      <c r="B7" s="4" t="s">
        <v>65</v>
      </c>
      <c r="C7" s="4" t="s">
        <v>66</v>
      </c>
      <c r="D7" s="4" t="s">
        <v>67</v>
      </c>
      <c r="E7" s="13" t="n">
        <v>8</v>
      </c>
      <c r="F7" s="14" t="n">
        <v>192.5</v>
      </c>
      <c r="G7" s="15" t="n">
        <f aca="false">E7*F7</f>
        <v>1540</v>
      </c>
      <c r="H7" s="4" t="s">
        <v>56</v>
      </c>
      <c r="I7" s="4" t="s">
        <v>68</v>
      </c>
      <c r="J7" s="16" t="s">
        <v>58</v>
      </c>
      <c r="K7" s="4" t="s">
        <v>69</v>
      </c>
    </row>
    <row r="8" customFormat="false" ht="67.5" hidden="false" customHeight="true" outlineLevel="0" collapsed="false">
      <c r="A8" s="6" t="s">
        <v>70</v>
      </c>
      <c r="B8" s="6" t="s">
        <v>71</v>
      </c>
      <c r="C8" s="6" t="s">
        <v>72</v>
      </c>
      <c r="D8" s="6" t="s">
        <v>73</v>
      </c>
      <c r="E8" s="17"/>
      <c r="F8" s="21"/>
      <c r="G8" s="22" t="n">
        <v>1200</v>
      </c>
      <c r="H8" s="6" t="s">
        <v>56</v>
      </c>
      <c r="I8" s="6" t="s">
        <v>74</v>
      </c>
      <c r="J8" s="20" t="s">
        <v>58</v>
      </c>
      <c r="K8" s="6" t="s">
        <v>75</v>
      </c>
    </row>
    <row r="9" customFormat="false" ht="67.5" hidden="false" customHeight="true" outlineLevel="0" collapsed="false">
      <c r="A9" s="4" t="s">
        <v>76</v>
      </c>
      <c r="B9" s="4" t="s">
        <v>77</v>
      </c>
      <c r="C9" s="4" t="s">
        <v>78</v>
      </c>
      <c r="D9" s="4" t="s">
        <v>79</v>
      </c>
      <c r="E9" s="13"/>
      <c r="F9" s="23"/>
      <c r="G9" s="22" t="n">
        <v>500</v>
      </c>
      <c r="H9" s="4" t="s">
        <v>56</v>
      </c>
      <c r="I9" s="4" t="s">
        <v>80</v>
      </c>
      <c r="J9" s="4" t="s">
        <v>10</v>
      </c>
      <c r="K9" s="4" t="s">
        <v>81</v>
      </c>
    </row>
    <row r="10" customFormat="false" ht="67.5" hidden="false" customHeight="true" outlineLevel="0" collapsed="false">
      <c r="A10" s="6" t="s">
        <v>82</v>
      </c>
      <c r="B10" s="6" t="s">
        <v>83</v>
      </c>
      <c r="C10" s="6" t="s">
        <v>84</v>
      </c>
      <c r="D10" s="6" t="s">
        <v>85</v>
      </c>
      <c r="E10" s="17" t="n">
        <v>1</v>
      </c>
      <c r="F10" s="18" t="n">
        <v>498</v>
      </c>
      <c r="G10" s="19" t="n">
        <f aca="false">E10*F10</f>
        <v>498</v>
      </c>
      <c r="H10" s="6" t="s">
        <v>56</v>
      </c>
      <c r="I10" s="6" t="s">
        <v>86</v>
      </c>
      <c r="J10" s="20" t="s">
        <v>58</v>
      </c>
      <c r="K10" s="6" t="s">
        <v>87</v>
      </c>
    </row>
    <row r="11" customFormat="false" ht="67.5" hidden="false" customHeight="true" outlineLevel="0" collapsed="false">
      <c r="A11" s="4" t="s">
        <v>88</v>
      </c>
      <c r="B11" s="4" t="s">
        <v>89</v>
      </c>
      <c r="C11" s="4" t="s">
        <v>78</v>
      </c>
      <c r="D11" s="4" t="s">
        <v>90</v>
      </c>
      <c r="E11" s="13"/>
      <c r="F11" s="23"/>
      <c r="G11" s="22" t="n">
        <v>900</v>
      </c>
      <c r="H11" s="4" t="s">
        <v>56</v>
      </c>
      <c r="I11" s="4" t="s">
        <v>80</v>
      </c>
      <c r="J11" s="4" t="s">
        <v>10</v>
      </c>
      <c r="K11" s="4" t="s">
        <v>91</v>
      </c>
    </row>
    <row r="12" customFormat="false" ht="67.5" hidden="false" customHeight="true" outlineLevel="0" collapsed="false">
      <c r="A12" s="6" t="s">
        <v>92</v>
      </c>
      <c r="B12" s="6" t="s">
        <v>93</v>
      </c>
      <c r="C12" s="6" t="s">
        <v>94</v>
      </c>
      <c r="D12" s="6" t="s">
        <v>95</v>
      </c>
      <c r="E12" s="17" t="n">
        <v>2</v>
      </c>
      <c r="F12" s="18" t="n">
        <v>7000</v>
      </c>
      <c r="G12" s="22" t="n">
        <f aca="false">E12*F12</f>
        <v>14000</v>
      </c>
      <c r="H12" s="6" t="s">
        <v>56</v>
      </c>
      <c r="I12" s="6" t="s">
        <v>96</v>
      </c>
      <c r="J12" s="6" t="s">
        <v>97</v>
      </c>
      <c r="K12" s="6" t="s">
        <v>98</v>
      </c>
    </row>
    <row r="13" customFormat="false" ht="67.5" hidden="false" customHeight="true" outlineLevel="0" collapsed="false">
      <c r="A13" s="4" t="s">
        <v>99</v>
      </c>
      <c r="B13" s="4" t="s">
        <v>100</v>
      </c>
      <c r="C13" s="4" t="s">
        <v>101</v>
      </c>
      <c r="D13" s="4" t="s">
        <v>102</v>
      </c>
      <c r="E13" s="13" t="n">
        <v>2</v>
      </c>
      <c r="F13" s="14" t="n">
        <v>4620</v>
      </c>
      <c r="G13" s="15" t="n">
        <f aca="false">E13*F13</f>
        <v>9240</v>
      </c>
      <c r="H13" s="4" t="s">
        <v>56</v>
      </c>
      <c r="I13" s="4" t="s">
        <v>103</v>
      </c>
      <c r="J13" s="16" t="s">
        <v>58</v>
      </c>
      <c r="K13" s="4" t="s">
        <v>104</v>
      </c>
    </row>
    <row r="14" customFormat="false" ht="67.5" hidden="false" customHeight="true" outlineLevel="0" collapsed="false">
      <c r="A14" s="6" t="s">
        <v>105</v>
      </c>
      <c r="B14" s="6" t="s">
        <v>106</v>
      </c>
      <c r="C14" s="6" t="s">
        <v>94</v>
      </c>
      <c r="D14" s="6" t="s">
        <v>107</v>
      </c>
      <c r="E14" s="17" t="n">
        <v>1</v>
      </c>
      <c r="F14" s="18" t="n">
        <v>75.02</v>
      </c>
      <c r="G14" s="24" t="n">
        <f aca="false">E14*F14</f>
        <v>75.02</v>
      </c>
      <c r="H14" s="6" t="s">
        <v>108</v>
      </c>
      <c r="I14" s="6" t="s">
        <v>109</v>
      </c>
      <c r="J14" s="20" t="s">
        <v>58</v>
      </c>
      <c r="K14" s="6" t="s">
        <v>110</v>
      </c>
    </row>
    <row r="15" customFormat="false" ht="67.5" hidden="false" customHeight="true" outlineLevel="0" collapsed="false">
      <c r="A15" s="4" t="s">
        <v>111</v>
      </c>
      <c r="B15" s="4" t="s">
        <v>112</v>
      </c>
      <c r="C15" s="4" t="s">
        <v>78</v>
      </c>
      <c r="D15" s="4" t="s">
        <v>113</v>
      </c>
      <c r="E15" s="13" t="n">
        <v>1</v>
      </c>
      <c r="F15" s="14" t="n">
        <v>4521</v>
      </c>
      <c r="G15" s="15" t="n">
        <f aca="false">E15*F15</f>
        <v>4521</v>
      </c>
      <c r="H15" s="4" t="s">
        <v>56</v>
      </c>
      <c r="I15" s="4" t="s">
        <v>114</v>
      </c>
      <c r="J15" s="16" t="s">
        <v>58</v>
      </c>
      <c r="K15" s="4" t="s">
        <v>115</v>
      </c>
    </row>
    <row r="16" customFormat="false" ht="67.5" hidden="false" customHeight="true" outlineLevel="0" collapsed="false">
      <c r="A16" s="6" t="s">
        <v>116</v>
      </c>
      <c r="B16" s="6" t="s">
        <v>117</v>
      </c>
      <c r="C16" s="6" t="s">
        <v>118</v>
      </c>
      <c r="D16" s="6" t="s">
        <v>119</v>
      </c>
      <c r="E16" s="17" t="n">
        <v>1</v>
      </c>
      <c r="F16" s="18" t="n">
        <v>1507</v>
      </c>
      <c r="G16" s="19" t="n">
        <f aca="false">E16*F16</f>
        <v>1507</v>
      </c>
      <c r="H16" s="6" t="s">
        <v>56</v>
      </c>
      <c r="I16" s="6" t="s">
        <v>114</v>
      </c>
      <c r="J16" s="20" t="s">
        <v>58</v>
      </c>
      <c r="K16" s="6" t="s">
        <v>120</v>
      </c>
    </row>
    <row r="17" customFormat="false" ht="67.5" hidden="false" customHeight="true" outlineLevel="0" collapsed="false">
      <c r="A17" s="4" t="s">
        <v>121</v>
      </c>
      <c r="B17" s="4" t="s">
        <v>122</v>
      </c>
      <c r="C17" s="4" t="s">
        <v>62</v>
      </c>
      <c r="D17" s="4" t="s">
        <v>123</v>
      </c>
      <c r="E17" s="13" t="n">
        <v>2</v>
      </c>
      <c r="F17" s="14" t="n">
        <v>393</v>
      </c>
      <c r="G17" s="15" t="n">
        <f aca="false">E17*F17</f>
        <v>786</v>
      </c>
      <c r="H17" s="4" t="s">
        <v>56</v>
      </c>
      <c r="I17" s="4" t="s">
        <v>124</v>
      </c>
      <c r="J17" s="16" t="s">
        <v>58</v>
      </c>
      <c r="K17" s="4" t="s">
        <v>125</v>
      </c>
    </row>
    <row r="18" customFormat="false" ht="67.5" hidden="false" customHeight="true" outlineLevel="0" collapsed="false">
      <c r="A18" s="6" t="s">
        <v>126</v>
      </c>
      <c r="B18" s="6" t="s">
        <v>127</v>
      </c>
      <c r="C18" s="6" t="s">
        <v>128</v>
      </c>
      <c r="D18" s="6" t="s">
        <v>129</v>
      </c>
      <c r="E18" s="17"/>
      <c r="F18" s="21"/>
      <c r="G18" s="22" t="n">
        <v>1500</v>
      </c>
      <c r="H18" s="6" t="s">
        <v>56</v>
      </c>
      <c r="I18" s="6" t="s">
        <v>130</v>
      </c>
      <c r="J18" s="6" t="s">
        <v>10</v>
      </c>
      <c r="K18" s="6" t="s">
        <v>131</v>
      </c>
    </row>
    <row r="19" customFormat="false" ht="67.5" hidden="false" customHeight="true" outlineLevel="0" collapsed="false">
      <c r="A19" s="4" t="s">
        <v>132</v>
      </c>
      <c r="B19" s="4" t="s">
        <v>133</v>
      </c>
      <c r="C19" s="4" t="s">
        <v>128</v>
      </c>
      <c r="D19" s="4" t="s">
        <v>134</v>
      </c>
      <c r="E19" s="13"/>
      <c r="F19" s="23"/>
      <c r="G19" s="22" t="n">
        <v>300</v>
      </c>
      <c r="H19" s="4" t="s">
        <v>56</v>
      </c>
      <c r="I19" s="4" t="s">
        <v>135</v>
      </c>
      <c r="J19" s="4" t="s">
        <v>10</v>
      </c>
      <c r="K19" s="4" t="s">
        <v>136</v>
      </c>
    </row>
    <row r="20" customFormat="false" ht="67.5" hidden="false" customHeight="true" outlineLevel="0" collapsed="false">
      <c r="A20" s="6" t="s">
        <v>137</v>
      </c>
      <c r="B20" s="6" t="s">
        <v>138</v>
      </c>
      <c r="C20" s="6" t="s">
        <v>139</v>
      </c>
      <c r="D20" s="6" t="s">
        <v>140</v>
      </c>
      <c r="E20" s="17" t="n">
        <v>0</v>
      </c>
      <c r="F20" s="21"/>
      <c r="G20" s="22" t="n">
        <v>600</v>
      </c>
      <c r="H20" s="6" t="s">
        <v>56</v>
      </c>
      <c r="I20" s="6" t="s">
        <v>141</v>
      </c>
      <c r="J20" s="6" t="s">
        <v>142</v>
      </c>
      <c r="K20" s="6" t="s">
        <v>143</v>
      </c>
    </row>
    <row r="21" customFormat="false" ht="67.5" hidden="false" customHeight="true" outlineLevel="0" collapsed="false">
      <c r="A21" s="4" t="s">
        <v>144</v>
      </c>
      <c r="B21" s="4" t="s">
        <v>145</v>
      </c>
      <c r="C21" s="4" t="s">
        <v>62</v>
      </c>
      <c r="D21" s="4" t="s">
        <v>146</v>
      </c>
      <c r="E21" s="13"/>
      <c r="F21" s="23"/>
      <c r="G21" s="22" t="n">
        <v>500</v>
      </c>
      <c r="H21" s="4" t="s">
        <v>56</v>
      </c>
      <c r="I21" s="4" t="s">
        <v>135</v>
      </c>
      <c r="J21" s="4" t="s">
        <v>10</v>
      </c>
      <c r="K21" s="4" t="s">
        <v>147</v>
      </c>
    </row>
    <row r="22" customFormat="false" ht="67.5" hidden="false" customHeight="true" outlineLevel="0" collapsed="false">
      <c r="A22" s="6" t="s">
        <v>148</v>
      </c>
      <c r="B22" s="6" t="s">
        <v>149</v>
      </c>
      <c r="C22" s="6" t="s">
        <v>128</v>
      </c>
      <c r="D22" s="6" t="s">
        <v>129</v>
      </c>
      <c r="E22" s="17"/>
      <c r="F22" s="21"/>
      <c r="G22" s="22" t="n">
        <v>2300</v>
      </c>
      <c r="H22" s="6" t="s">
        <v>56</v>
      </c>
      <c r="I22" s="6" t="s">
        <v>130</v>
      </c>
      <c r="J22" s="6" t="s">
        <v>10</v>
      </c>
      <c r="K22" s="6" t="s">
        <v>150</v>
      </c>
    </row>
    <row r="23" customFormat="false" ht="67.5" hidden="false" customHeight="true" outlineLevel="0" collapsed="false">
      <c r="A23" s="4" t="s">
        <v>151</v>
      </c>
      <c r="B23" s="4" t="s">
        <v>152</v>
      </c>
      <c r="C23" s="4" t="s">
        <v>153</v>
      </c>
      <c r="D23" s="4" t="s">
        <v>154</v>
      </c>
      <c r="E23" s="13" t="n">
        <v>1</v>
      </c>
      <c r="F23" s="14" t="n">
        <v>319</v>
      </c>
      <c r="G23" s="15" t="n">
        <f aca="false">E23*F23</f>
        <v>319</v>
      </c>
      <c r="H23" s="4" t="s">
        <v>56</v>
      </c>
      <c r="I23" s="4" t="s">
        <v>103</v>
      </c>
      <c r="J23" s="16" t="s">
        <v>58</v>
      </c>
      <c r="K23" s="4" t="s">
        <v>155</v>
      </c>
    </row>
    <row r="24" customFormat="false" ht="67.5" hidden="false" customHeight="true" outlineLevel="0" collapsed="false">
      <c r="A24" s="6" t="s">
        <v>156</v>
      </c>
      <c r="B24" s="6" t="s">
        <v>157</v>
      </c>
      <c r="C24" s="6" t="s">
        <v>118</v>
      </c>
      <c r="D24" s="6" t="s">
        <v>158</v>
      </c>
      <c r="E24" s="17"/>
      <c r="F24" s="21"/>
      <c r="G24" s="22" t="n">
        <v>500</v>
      </c>
      <c r="H24" s="6" t="s">
        <v>56</v>
      </c>
      <c r="I24" s="6" t="s">
        <v>135</v>
      </c>
      <c r="J24" s="6" t="s">
        <v>10</v>
      </c>
      <c r="K24" s="6" t="s">
        <v>159</v>
      </c>
    </row>
    <row r="25" customFormat="false" ht="67.5" hidden="false" customHeight="true" outlineLevel="0" collapsed="false">
      <c r="A25" s="4" t="s">
        <v>160</v>
      </c>
      <c r="B25" s="4" t="s">
        <v>161</v>
      </c>
      <c r="C25" s="4" t="s">
        <v>84</v>
      </c>
      <c r="D25" s="4" t="s">
        <v>85</v>
      </c>
      <c r="E25" s="13" t="n">
        <v>1</v>
      </c>
      <c r="F25" s="14" t="n">
        <v>3298</v>
      </c>
      <c r="G25" s="15" t="n">
        <f aca="false">E25*F25</f>
        <v>3298</v>
      </c>
      <c r="H25" s="4" t="s">
        <v>56</v>
      </c>
      <c r="I25" s="4" t="s">
        <v>162</v>
      </c>
      <c r="J25" s="16" t="s">
        <v>58</v>
      </c>
      <c r="K25" s="4" t="s">
        <v>163</v>
      </c>
    </row>
    <row r="26" customFormat="false" ht="67.5" hidden="false" customHeight="true" outlineLevel="0" collapsed="false">
      <c r="A26" s="6" t="s">
        <v>164</v>
      </c>
      <c r="B26" s="6" t="s">
        <v>165</v>
      </c>
      <c r="C26" s="6" t="s">
        <v>94</v>
      </c>
      <c r="D26" s="6" t="s">
        <v>166</v>
      </c>
      <c r="E26" s="17" t="n">
        <v>2</v>
      </c>
      <c r="F26" s="18" t="n">
        <v>385</v>
      </c>
      <c r="G26" s="19" t="n">
        <f aca="false">E26*F26</f>
        <v>770</v>
      </c>
      <c r="H26" s="6" t="s">
        <v>56</v>
      </c>
      <c r="I26" s="6" t="s">
        <v>162</v>
      </c>
      <c r="J26" s="20" t="s">
        <v>58</v>
      </c>
      <c r="K26" s="6" t="s">
        <v>163</v>
      </c>
    </row>
    <row r="27" customFormat="false" ht="67.5" hidden="false" customHeight="true" outlineLevel="0" collapsed="false">
      <c r="A27" s="4" t="s">
        <v>167</v>
      </c>
      <c r="B27" s="4" t="s">
        <v>168</v>
      </c>
      <c r="C27" s="4" t="s">
        <v>84</v>
      </c>
      <c r="D27" s="4" t="s">
        <v>85</v>
      </c>
      <c r="E27" s="13" t="n">
        <v>1</v>
      </c>
      <c r="F27" s="14" t="n">
        <v>920</v>
      </c>
      <c r="G27" s="15" t="n">
        <f aca="false">E27*F27</f>
        <v>920</v>
      </c>
      <c r="H27" s="4" t="s">
        <v>56</v>
      </c>
      <c r="I27" s="4" t="s">
        <v>162</v>
      </c>
      <c r="J27" s="16" t="s">
        <v>58</v>
      </c>
      <c r="K27" s="4" t="s">
        <v>163</v>
      </c>
    </row>
    <row r="28" customFormat="false" ht="67.5" hidden="false" customHeight="true" outlineLevel="0" collapsed="false">
      <c r="A28" s="6" t="s">
        <v>169</v>
      </c>
      <c r="B28" s="6" t="s">
        <v>170</v>
      </c>
      <c r="C28" s="6" t="s">
        <v>84</v>
      </c>
      <c r="D28" s="6" t="s">
        <v>85</v>
      </c>
      <c r="E28" s="17" t="n">
        <v>1</v>
      </c>
      <c r="F28" s="18" t="n">
        <v>140</v>
      </c>
      <c r="G28" s="19" t="n">
        <f aca="false">E28*F28</f>
        <v>140</v>
      </c>
      <c r="H28" s="6" t="s">
        <v>56</v>
      </c>
      <c r="I28" s="6" t="s">
        <v>162</v>
      </c>
      <c r="J28" s="20" t="s">
        <v>58</v>
      </c>
      <c r="K28" s="6" t="s">
        <v>163</v>
      </c>
    </row>
    <row r="29" customFormat="false" ht="67.5" hidden="false" customHeight="true" outlineLevel="0" collapsed="false">
      <c r="A29" s="4" t="s">
        <v>171</v>
      </c>
      <c r="B29" s="4" t="s">
        <v>172</v>
      </c>
      <c r="C29" s="4" t="s">
        <v>84</v>
      </c>
      <c r="D29" s="4" t="s">
        <v>85</v>
      </c>
      <c r="E29" s="13" t="n">
        <v>1</v>
      </c>
      <c r="F29" s="14" t="n">
        <v>33</v>
      </c>
      <c r="G29" s="15" t="n">
        <f aca="false">E29*F29</f>
        <v>33</v>
      </c>
      <c r="H29" s="4" t="s">
        <v>56</v>
      </c>
      <c r="I29" s="4" t="s">
        <v>162</v>
      </c>
      <c r="J29" s="16" t="s">
        <v>58</v>
      </c>
      <c r="K29" s="4" t="s">
        <v>163</v>
      </c>
    </row>
    <row r="30" customFormat="false" ht="67.5" hidden="false" customHeight="true" outlineLevel="0" collapsed="false">
      <c r="A30" s="6" t="s">
        <v>173</v>
      </c>
      <c r="B30" s="6" t="s">
        <v>174</v>
      </c>
      <c r="C30" s="6" t="s">
        <v>84</v>
      </c>
      <c r="D30" s="6" t="s">
        <v>85</v>
      </c>
      <c r="E30" s="17" t="n">
        <v>1</v>
      </c>
      <c r="F30" s="18" t="n">
        <v>850</v>
      </c>
      <c r="G30" s="19" t="n">
        <f aca="false">E30*F30</f>
        <v>850</v>
      </c>
      <c r="H30" s="6" t="s">
        <v>56</v>
      </c>
      <c r="I30" s="6" t="s">
        <v>162</v>
      </c>
      <c r="J30" s="20" t="s">
        <v>58</v>
      </c>
      <c r="K30" s="6" t="s">
        <v>163</v>
      </c>
    </row>
    <row r="31" customFormat="false" ht="67.5" hidden="false" customHeight="true" outlineLevel="0" collapsed="false">
      <c r="A31" s="4" t="s">
        <v>175</v>
      </c>
      <c r="B31" s="4" t="s">
        <v>176</v>
      </c>
      <c r="C31" s="4" t="s">
        <v>84</v>
      </c>
      <c r="D31" s="4" t="s">
        <v>85</v>
      </c>
      <c r="E31" s="13" t="n">
        <v>1</v>
      </c>
      <c r="F31" s="14" t="n">
        <v>70</v>
      </c>
      <c r="G31" s="15" t="n">
        <f aca="false">E31*F31</f>
        <v>70</v>
      </c>
      <c r="H31" s="4" t="s">
        <v>56</v>
      </c>
      <c r="I31" s="4" t="s">
        <v>162</v>
      </c>
      <c r="J31" s="16" t="s">
        <v>58</v>
      </c>
      <c r="K31" s="4" t="s">
        <v>163</v>
      </c>
    </row>
    <row r="32" customFormat="false" ht="67.5" hidden="false" customHeight="true" outlineLevel="0" collapsed="false">
      <c r="A32" s="6" t="s">
        <v>177</v>
      </c>
      <c r="B32" s="6" t="s">
        <v>178</v>
      </c>
      <c r="C32" s="6" t="s">
        <v>84</v>
      </c>
      <c r="D32" s="6" t="s">
        <v>85</v>
      </c>
      <c r="E32" s="17" t="n">
        <v>1</v>
      </c>
      <c r="F32" s="18" t="n">
        <v>1033</v>
      </c>
      <c r="G32" s="19" t="n">
        <f aca="false">E32*F32</f>
        <v>1033</v>
      </c>
      <c r="H32" s="6" t="s">
        <v>56</v>
      </c>
      <c r="I32" s="6" t="s">
        <v>162</v>
      </c>
      <c r="J32" s="20" t="s">
        <v>58</v>
      </c>
      <c r="K32" s="6" t="s">
        <v>163</v>
      </c>
    </row>
    <row r="33" customFormat="false" ht="67.5" hidden="false" customHeight="true" outlineLevel="0" collapsed="false">
      <c r="A33" s="4" t="s">
        <v>179</v>
      </c>
      <c r="B33" s="4" t="s">
        <v>180</v>
      </c>
      <c r="C33" s="4" t="s">
        <v>84</v>
      </c>
      <c r="D33" s="4" t="s">
        <v>85</v>
      </c>
      <c r="E33" s="13" t="n">
        <v>1</v>
      </c>
      <c r="F33" s="14" t="n">
        <v>30</v>
      </c>
      <c r="G33" s="15" t="n">
        <f aca="false">E33*F33</f>
        <v>30</v>
      </c>
      <c r="H33" s="4" t="s">
        <v>56</v>
      </c>
      <c r="I33" s="4" t="s">
        <v>162</v>
      </c>
      <c r="J33" s="16" t="s">
        <v>58</v>
      </c>
      <c r="K33" s="4" t="s">
        <v>163</v>
      </c>
    </row>
    <row r="34" customFormat="false" ht="67.5" hidden="false" customHeight="true" outlineLevel="0" collapsed="false">
      <c r="A34" s="6" t="s">
        <v>181</v>
      </c>
      <c r="B34" s="6" t="s">
        <v>182</v>
      </c>
      <c r="C34" s="6" t="s">
        <v>84</v>
      </c>
      <c r="D34" s="6" t="s">
        <v>85</v>
      </c>
      <c r="E34" s="17" t="n">
        <v>1</v>
      </c>
      <c r="F34" s="18" t="n">
        <v>20</v>
      </c>
      <c r="G34" s="19" t="n">
        <f aca="false">E34*F34</f>
        <v>20</v>
      </c>
      <c r="H34" s="6" t="s">
        <v>56</v>
      </c>
      <c r="I34" s="6" t="s">
        <v>162</v>
      </c>
      <c r="J34" s="20" t="s">
        <v>58</v>
      </c>
      <c r="K34" s="6" t="s">
        <v>163</v>
      </c>
    </row>
    <row r="35" customFormat="false" ht="67.5" hidden="false" customHeight="true" outlineLevel="0" collapsed="false">
      <c r="A35" s="4" t="s">
        <v>183</v>
      </c>
      <c r="B35" s="4" t="s">
        <v>184</v>
      </c>
      <c r="C35" s="4" t="s">
        <v>84</v>
      </c>
      <c r="D35" s="4" t="s">
        <v>85</v>
      </c>
      <c r="E35" s="13" t="n">
        <v>1</v>
      </c>
      <c r="F35" s="14" t="n">
        <v>100</v>
      </c>
      <c r="G35" s="15" t="n">
        <f aca="false">E35*F35</f>
        <v>100</v>
      </c>
      <c r="H35" s="4" t="s">
        <v>56</v>
      </c>
      <c r="I35" s="4" t="s">
        <v>162</v>
      </c>
      <c r="J35" s="16" t="s">
        <v>58</v>
      </c>
      <c r="K35" s="4" t="s">
        <v>163</v>
      </c>
    </row>
    <row r="36" customFormat="false" ht="67.5" hidden="false" customHeight="true" outlineLevel="0" collapsed="false">
      <c r="A36" s="6" t="s">
        <v>185</v>
      </c>
      <c r="B36" s="6" t="s">
        <v>186</v>
      </c>
      <c r="C36" s="6" t="s">
        <v>84</v>
      </c>
      <c r="D36" s="6" t="s">
        <v>85</v>
      </c>
      <c r="E36" s="17" t="n">
        <v>1</v>
      </c>
      <c r="F36" s="18" t="n">
        <v>20</v>
      </c>
      <c r="G36" s="19" t="n">
        <f aca="false">E36*F36</f>
        <v>20</v>
      </c>
      <c r="H36" s="6" t="s">
        <v>56</v>
      </c>
      <c r="I36" s="6" t="s">
        <v>162</v>
      </c>
      <c r="J36" s="20" t="s">
        <v>58</v>
      </c>
      <c r="K36" s="6" t="s">
        <v>163</v>
      </c>
    </row>
    <row r="37" customFormat="false" ht="67.5" hidden="false" customHeight="true" outlineLevel="0" collapsed="false">
      <c r="A37" s="4" t="s">
        <v>187</v>
      </c>
      <c r="B37" s="4" t="s">
        <v>188</v>
      </c>
      <c r="C37" s="4" t="s">
        <v>84</v>
      </c>
      <c r="D37" s="4" t="s">
        <v>189</v>
      </c>
      <c r="E37" s="13" t="n">
        <v>1</v>
      </c>
      <c r="F37" s="14" t="n">
        <v>300</v>
      </c>
      <c r="G37" s="15" t="n">
        <f aca="false">E37*F37</f>
        <v>300</v>
      </c>
      <c r="H37" s="4" t="s">
        <v>56</v>
      </c>
      <c r="I37" s="4" t="s">
        <v>162</v>
      </c>
      <c r="J37" s="16" t="s">
        <v>58</v>
      </c>
      <c r="K37" s="4" t="s">
        <v>163</v>
      </c>
    </row>
    <row r="38" customFormat="false" ht="67.5" hidden="false" customHeight="true" outlineLevel="0" collapsed="false">
      <c r="A38" s="6" t="s">
        <v>190</v>
      </c>
      <c r="B38" s="6" t="s">
        <v>191</v>
      </c>
      <c r="C38" s="6" t="s">
        <v>128</v>
      </c>
      <c r="D38" s="6" t="s">
        <v>192</v>
      </c>
      <c r="E38" s="17"/>
      <c r="F38" s="21"/>
      <c r="G38" s="19" t="n">
        <v>0</v>
      </c>
      <c r="H38" s="6" t="s">
        <v>56</v>
      </c>
      <c r="I38" s="6" t="s">
        <v>193</v>
      </c>
      <c r="J38" s="20" t="s">
        <v>58</v>
      </c>
      <c r="K38" s="6" t="s">
        <v>194</v>
      </c>
    </row>
    <row r="39" customFormat="false" ht="67.5" hidden="false" customHeight="true" outlineLevel="0" collapsed="false">
      <c r="A39" s="4" t="s">
        <v>195</v>
      </c>
      <c r="B39" s="4" t="s">
        <v>196</v>
      </c>
      <c r="C39" s="4" t="s">
        <v>128</v>
      </c>
      <c r="D39" s="4" t="s">
        <v>192</v>
      </c>
      <c r="E39" s="13"/>
      <c r="F39" s="23"/>
      <c r="G39" s="22" t="n">
        <v>1000</v>
      </c>
      <c r="H39" s="4" t="s">
        <v>56</v>
      </c>
      <c r="I39" s="4" t="s">
        <v>197</v>
      </c>
      <c r="J39" s="4" t="s">
        <v>198</v>
      </c>
      <c r="K39" s="4" t="s">
        <v>199</v>
      </c>
    </row>
    <row r="40" customFormat="false" ht="67.5" hidden="false" customHeight="true" outlineLevel="0" collapsed="false">
      <c r="A40" s="6" t="s">
        <v>200</v>
      </c>
      <c r="B40" s="6" t="s">
        <v>201</v>
      </c>
      <c r="C40" s="6" t="s">
        <v>128</v>
      </c>
      <c r="D40" s="6" t="s">
        <v>192</v>
      </c>
      <c r="E40" s="17"/>
      <c r="F40" s="21"/>
      <c r="G40" s="22" t="n">
        <v>500</v>
      </c>
      <c r="H40" s="6" t="s">
        <v>56</v>
      </c>
      <c r="I40" s="6" t="s">
        <v>197</v>
      </c>
      <c r="J40" s="6" t="s">
        <v>10</v>
      </c>
      <c r="K40" s="6" t="s">
        <v>202</v>
      </c>
    </row>
    <row r="41" customFormat="false" ht="67.5" hidden="false" customHeight="true" outlineLevel="0" collapsed="false">
      <c r="A41" s="4" t="s">
        <v>203</v>
      </c>
      <c r="B41" s="4" t="s">
        <v>204</v>
      </c>
      <c r="C41" s="4" t="s">
        <v>128</v>
      </c>
      <c r="D41" s="4" t="s">
        <v>192</v>
      </c>
      <c r="E41" s="13"/>
      <c r="F41" s="23"/>
      <c r="G41" s="15" t="n">
        <v>0</v>
      </c>
      <c r="H41" s="4" t="s">
        <v>56</v>
      </c>
      <c r="I41" s="4" t="s">
        <v>205</v>
      </c>
      <c r="J41" s="16" t="s">
        <v>58</v>
      </c>
      <c r="K41" s="4" t="s">
        <v>206</v>
      </c>
    </row>
    <row r="42" customFormat="false" ht="67.5" hidden="false" customHeight="true" outlineLevel="0" collapsed="false">
      <c r="A42" s="6" t="s">
        <v>207</v>
      </c>
      <c r="B42" s="6" t="s">
        <v>208</v>
      </c>
      <c r="C42" s="6" t="s">
        <v>128</v>
      </c>
      <c r="D42" s="6" t="s">
        <v>192</v>
      </c>
      <c r="E42" s="17"/>
      <c r="F42" s="21"/>
      <c r="G42" s="22"/>
      <c r="H42" s="6" t="s">
        <v>56</v>
      </c>
      <c r="I42" s="6" t="s">
        <v>209</v>
      </c>
      <c r="J42" s="6" t="s">
        <v>210</v>
      </c>
      <c r="K42" s="6" t="s">
        <v>211</v>
      </c>
    </row>
    <row r="43" customFormat="false" ht="67.5" hidden="false" customHeight="true" outlineLevel="0" collapsed="false">
      <c r="A43" s="4" t="s">
        <v>212</v>
      </c>
      <c r="B43" s="4" t="s">
        <v>213</v>
      </c>
      <c r="C43" s="4" t="s">
        <v>128</v>
      </c>
      <c r="D43" s="4" t="s">
        <v>192</v>
      </c>
      <c r="E43" s="13"/>
      <c r="F43" s="23"/>
      <c r="G43" s="15" t="n">
        <v>1200</v>
      </c>
      <c r="H43" s="4" t="s">
        <v>56</v>
      </c>
      <c r="I43" s="4" t="s">
        <v>205</v>
      </c>
      <c r="J43" s="4" t="s">
        <v>214</v>
      </c>
      <c r="K43" s="4" t="s">
        <v>215</v>
      </c>
    </row>
    <row r="44" customFormat="false" ht="67.5" hidden="false" customHeight="true" outlineLevel="0" collapsed="false">
      <c r="A44" s="6" t="s">
        <v>216</v>
      </c>
      <c r="B44" s="6" t="s">
        <v>217</v>
      </c>
      <c r="C44" s="6" t="s">
        <v>128</v>
      </c>
      <c r="D44" s="6" t="s">
        <v>192</v>
      </c>
      <c r="E44" s="17"/>
      <c r="F44" s="21"/>
      <c r="G44" s="24" t="n">
        <v>7.23</v>
      </c>
      <c r="H44" s="6" t="s">
        <v>108</v>
      </c>
      <c r="I44" s="6" t="s">
        <v>218</v>
      </c>
      <c r="J44" s="20" t="s">
        <v>58</v>
      </c>
      <c r="K44" s="6" t="s">
        <v>219</v>
      </c>
    </row>
  </sheetData>
  <autoFilter ref="A4:K44"/>
  <mergeCells count="2">
    <mergeCell ref="A1:K1"/>
    <mergeCell ref="A2:K2"/>
  </mergeCells>
  <dataValidations count="1">
    <dataValidation allowBlank="true" error="未確定なら空欄にしてください。" errorStyle="stop" errorTitle="0以上の数値" operator="greaterThanOrEqual" showDropDown="false" showErrorMessage="true" showInputMessage="false" sqref="E5:F44" type="decimal">
      <formula1>0</formula1>
      <formula2>0</formula2>
    </dataValidation>
  </dataValidations>
  <hyperlinks>
    <hyperlink ref="J5" r:id="rId1" display="参照を開く"/>
    <hyperlink ref="J6" r:id="rId2" display="参照を開く"/>
    <hyperlink ref="J7" r:id="rId3" display="参照を開く"/>
    <hyperlink ref="J8" r:id="rId4" display="参照を開く"/>
    <hyperlink ref="J10" r:id="rId5" display="参照を開く"/>
    <hyperlink ref="J13" r:id="rId6" display="参照を開く"/>
    <hyperlink ref="J14" r:id="rId7" display="参照を開く"/>
    <hyperlink ref="J15" r:id="rId8" display="参照を開く"/>
    <hyperlink ref="J16" r:id="rId9" display="参照を開く"/>
    <hyperlink ref="J17" r:id="rId10" display="参照を開く"/>
    <hyperlink ref="J23" r:id="rId11" display="参照を開く"/>
    <hyperlink ref="J25" r:id="rId12" display="参照を開く"/>
    <hyperlink ref="J26" r:id="rId13" display="参照を開く"/>
    <hyperlink ref="J27" r:id="rId14" display="参照を開く"/>
    <hyperlink ref="J28" r:id="rId15" display="参照を開く"/>
    <hyperlink ref="J29" r:id="rId16" display="参照を開く"/>
    <hyperlink ref="J30" r:id="rId17" display="参照を開く"/>
    <hyperlink ref="J31" r:id="rId18" display="参照を開く"/>
    <hyperlink ref="J32" r:id="rId19" display="参照を開く"/>
    <hyperlink ref="J33" r:id="rId20" display="参照を開く"/>
    <hyperlink ref="J34" r:id="rId21" display="参照を開く"/>
    <hyperlink ref="J35" r:id="rId22" display="参照を開く"/>
    <hyperlink ref="J36" r:id="rId23" display="参照を開く"/>
    <hyperlink ref="J37" r:id="rId24" display="参照を開く"/>
    <hyperlink ref="J38" r:id="rId25" display="参照を開く"/>
    <hyperlink ref="J41" r:id="rId26" display="参照を開く"/>
    <hyperlink ref="J44" r:id="rId27" display="参照を開く"/>
  </hyperlinks>
  <printOptions headings="false" gridLines="false" gridLinesSet="true" horizontalCentered="true" verticalCentered="false"/>
  <pageMargins left="0.25" right="0.25" top="0.35" bottom="0.3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&amp;CAMR-01 A6 | &amp;P / &amp;N</oddFooter>
  </headerFooter>
  <drawing r:id="rId28"/>
  <tableParts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47"/>
    <col collapsed="false" customWidth="true" hidden="false" outlineLevel="0" max="6" min="6" style="0" width="72"/>
  </cols>
  <sheetData>
    <row r="1" customFormat="false" ht="33.75" hidden="false" customHeight="true" outlineLevel="0" collapsed="false">
      <c r="A1" s="1" t="s">
        <v>220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221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222</v>
      </c>
      <c r="B4" s="3" t="s">
        <v>43</v>
      </c>
      <c r="C4" s="3" t="s">
        <v>223</v>
      </c>
      <c r="D4" s="3" t="s">
        <v>224</v>
      </c>
      <c r="E4" s="3" t="s">
        <v>225</v>
      </c>
      <c r="F4" s="3" t="s">
        <v>51</v>
      </c>
    </row>
    <row r="5" customFormat="false" ht="48" hidden="false" customHeight="true" outlineLevel="0" collapsed="false">
      <c r="A5" s="4" t="s">
        <v>226</v>
      </c>
      <c r="B5" s="25" t="n">
        <v>6</v>
      </c>
      <c r="C5" s="25" t="n">
        <v>0</v>
      </c>
      <c r="D5" s="25" t="n">
        <v>6</v>
      </c>
      <c r="E5" s="4" t="s">
        <v>151</v>
      </c>
      <c r="F5" s="4" t="s">
        <v>227</v>
      </c>
    </row>
    <row r="6" customFormat="false" ht="48" hidden="false" customHeight="true" outlineLevel="0" collapsed="false">
      <c r="A6" s="6" t="s">
        <v>228</v>
      </c>
      <c r="B6" s="26" t="n">
        <v>50</v>
      </c>
      <c r="C6" s="26" t="n">
        <v>16</v>
      </c>
      <c r="D6" s="26" t="n">
        <v>34</v>
      </c>
      <c r="E6" s="6" t="s">
        <v>229</v>
      </c>
      <c r="F6" s="6" t="s">
        <v>230</v>
      </c>
    </row>
    <row r="7" customFormat="false" ht="48" hidden="false" customHeight="true" outlineLevel="0" collapsed="false">
      <c r="A7" s="4" t="s">
        <v>231</v>
      </c>
      <c r="B7" s="25" t="n">
        <v>6</v>
      </c>
      <c r="C7" s="25" t="n">
        <v>0</v>
      </c>
      <c r="D7" s="25" t="n">
        <v>6</v>
      </c>
      <c r="E7" s="4" t="s">
        <v>148</v>
      </c>
      <c r="F7" s="4" t="s">
        <v>232</v>
      </c>
    </row>
    <row r="8" customFormat="false" ht="48" hidden="false" customHeight="true" outlineLevel="0" collapsed="false">
      <c r="A8" s="6" t="s">
        <v>233</v>
      </c>
      <c r="B8" s="26" t="n">
        <v>8</v>
      </c>
      <c r="C8" s="26" t="n">
        <v>0</v>
      </c>
      <c r="D8" s="26" t="n">
        <v>8</v>
      </c>
      <c r="E8" s="6" t="s">
        <v>126</v>
      </c>
      <c r="F8" s="6" t="s">
        <v>234</v>
      </c>
    </row>
    <row r="9" customFormat="false" ht="48" hidden="false" customHeight="true" outlineLevel="0" collapsed="false">
      <c r="A9" s="4" t="s">
        <v>235</v>
      </c>
      <c r="B9" s="25" t="n">
        <v>8</v>
      </c>
      <c r="C9" s="25" t="n">
        <v>0</v>
      </c>
      <c r="D9" s="25" t="n">
        <v>8</v>
      </c>
      <c r="E9" s="4" t="s">
        <v>126</v>
      </c>
      <c r="F9" s="4" t="s">
        <v>234</v>
      </c>
    </row>
    <row r="10" customFormat="false" ht="48" hidden="false" customHeight="true" outlineLevel="0" collapsed="false">
      <c r="A10" s="6" t="s">
        <v>236</v>
      </c>
      <c r="B10" s="26" t="n">
        <v>8</v>
      </c>
      <c r="C10" s="26" t="n">
        <v>0</v>
      </c>
      <c r="D10" s="26" t="n">
        <v>8</v>
      </c>
      <c r="E10" s="6" t="s">
        <v>126</v>
      </c>
      <c r="F10" s="6" t="s">
        <v>234</v>
      </c>
    </row>
    <row r="11" customFormat="false" ht="48" hidden="false" customHeight="true" outlineLevel="0" collapsed="false">
      <c r="A11" s="4" t="s">
        <v>237</v>
      </c>
      <c r="B11" s="25" t="n">
        <v>12</v>
      </c>
      <c r="C11" s="25" t="n">
        <v>0</v>
      </c>
      <c r="D11" s="25" t="n">
        <v>12</v>
      </c>
      <c r="E11" s="4" t="s">
        <v>126</v>
      </c>
      <c r="F11" s="4" t="s">
        <v>238</v>
      </c>
    </row>
    <row r="12" customFormat="false" ht="48" hidden="false" customHeight="true" outlineLevel="0" collapsed="false">
      <c r="A12" s="6" t="s">
        <v>239</v>
      </c>
      <c r="B12" s="26" t="n">
        <v>12</v>
      </c>
      <c r="C12" s="26" t="n">
        <v>0</v>
      </c>
      <c r="D12" s="26" t="n">
        <v>12</v>
      </c>
      <c r="E12" s="6" t="s">
        <v>148</v>
      </c>
      <c r="F12" s="6" t="s">
        <v>234</v>
      </c>
    </row>
    <row r="13" customFormat="false" ht="48" hidden="false" customHeight="true" outlineLevel="0" collapsed="false">
      <c r="A13" s="4" t="s">
        <v>240</v>
      </c>
      <c r="B13" s="25" t="n">
        <v>4</v>
      </c>
      <c r="C13" s="25" t="n">
        <v>0</v>
      </c>
      <c r="D13" s="25" t="n">
        <v>4</v>
      </c>
      <c r="E13" s="4" t="s">
        <v>148</v>
      </c>
      <c r="F13" s="4" t="s">
        <v>234</v>
      </c>
    </row>
    <row r="14" customFormat="false" ht="48" hidden="false" customHeight="true" outlineLevel="0" collapsed="false">
      <c r="A14" s="6" t="s">
        <v>241</v>
      </c>
      <c r="B14" s="26" t="n">
        <v>12</v>
      </c>
      <c r="C14" s="26" t="n">
        <v>0</v>
      </c>
      <c r="D14" s="26" t="n">
        <v>12</v>
      </c>
      <c r="E14" s="6" t="s">
        <v>148</v>
      </c>
      <c r="F14" s="6" t="s">
        <v>234</v>
      </c>
    </row>
    <row r="15" customFormat="false" ht="48" hidden="false" customHeight="true" outlineLevel="0" collapsed="false">
      <c r="A15" s="4" t="s">
        <v>242</v>
      </c>
      <c r="B15" s="25" t="n">
        <v>8</v>
      </c>
      <c r="C15" s="25" t="n">
        <v>0</v>
      </c>
      <c r="D15" s="25" t="n">
        <v>8</v>
      </c>
      <c r="E15" s="4" t="s">
        <v>148</v>
      </c>
      <c r="F15" s="4" t="s">
        <v>234</v>
      </c>
    </row>
    <row r="16" customFormat="false" ht="48" hidden="false" customHeight="true" outlineLevel="0" collapsed="false">
      <c r="A16" s="6" t="s">
        <v>243</v>
      </c>
      <c r="B16" s="26" t="n">
        <v>36</v>
      </c>
      <c r="C16" s="26" t="n">
        <v>16</v>
      </c>
      <c r="D16" s="26" t="n">
        <v>20</v>
      </c>
      <c r="E16" s="6" t="s">
        <v>244</v>
      </c>
      <c r="F16" s="6" t="s">
        <v>234</v>
      </c>
    </row>
    <row r="17" customFormat="false" ht="48" hidden="false" customHeight="true" outlineLevel="0" collapsed="false">
      <c r="A17" s="4" t="s">
        <v>245</v>
      </c>
      <c r="B17" s="25" t="n">
        <v>4</v>
      </c>
      <c r="C17" s="25" t="n">
        <v>0</v>
      </c>
      <c r="D17" s="25" t="n">
        <v>4</v>
      </c>
      <c r="E17" s="4" t="s">
        <v>148</v>
      </c>
      <c r="F17" s="4" t="s">
        <v>234</v>
      </c>
    </row>
    <row r="18" customFormat="false" ht="48" hidden="false" customHeight="true" outlineLevel="0" collapsed="false">
      <c r="A18" s="6" t="s">
        <v>246</v>
      </c>
      <c r="B18" s="26" t="n">
        <v>6</v>
      </c>
      <c r="C18" s="26" t="n">
        <v>0</v>
      </c>
      <c r="D18" s="26" t="n">
        <v>6</v>
      </c>
      <c r="E18" s="6" t="s">
        <v>126</v>
      </c>
      <c r="F18" s="6" t="s">
        <v>247</v>
      </c>
    </row>
    <row r="19" customFormat="false" ht="48" hidden="false" customHeight="true" outlineLevel="0" collapsed="false">
      <c r="A19" s="4" t="s">
        <v>248</v>
      </c>
      <c r="B19" s="25" t="n">
        <v>6</v>
      </c>
      <c r="C19" s="25" t="n">
        <v>6</v>
      </c>
      <c r="D19" s="25" t="n">
        <v>0</v>
      </c>
      <c r="E19" s="4" t="s">
        <v>99</v>
      </c>
      <c r="F19" s="4" t="s">
        <v>249</v>
      </c>
    </row>
  </sheetData>
  <autoFilter ref="A4:F19"/>
  <mergeCells count="2">
    <mergeCell ref="A1:F1"/>
    <mergeCell ref="A2:F2"/>
  </mergeCells>
  <printOptions headings="false" gridLines="false" gridLinesSet="true" horizontalCentered="tru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&amp;CAMR-01 A6 | &amp;P /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7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17"/>
    <col collapsed="false" customWidth="true" hidden="false" outlineLevel="0" max="6" min="6" style="0" width="25"/>
    <col collapsed="false" customWidth="true" hidden="false" outlineLevel="0" max="7" min="7" style="0" width="13"/>
    <col collapsed="false" customWidth="true" hidden="false" outlineLevel="0" max="8" min="8" style="0" width="75"/>
  </cols>
  <sheetData>
    <row r="1" customFormat="false" ht="33.75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251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41</v>
      </c>
      <c r="B4" s="3" t="s">
        <v>252</v>
      </c>
      <c r="C4" s="3" t="s">
        <v>253</v>
      </c>
      <c r="D4" s="3" t="s">
        <v>254</v>
      </c>
      <c r="E4" s="3" t="s">
        <v>255</v>
      </c>
      <c r="F4" s="3" t="s">
        <v>225</v>
      </c>
      <c r="G4" s="3" t="s">
        <v>256</v>
      </c>
      <c r="H4" s="3" t="s">
        <v>51</v>
      </c>
    </row>
    <row r="5" customFormat="false" ht="49.5" hidden="false" customHeight="true" outlineLevel="0" collapsed="false">
      <c r="A5" s="4" t="s">
        <v>257</v>
      </c>
      <c r="B5" s="4" t="s">
        <v>258</v>
      </c>
      <c r="C5" s="25" t="n">
        <v>2</v>
      </c>
      <c r="D5" s="4" t="s">
        <v>259</v>
      </c>
      <c r="E5" s="4" t="s">
        <v>260</v>
      </c>
      <c r="F5" s="4" t="s">
        <v>105</v>
      </c>
      <c r="G5" s="27" t="s">
        <v>256</v>
      </c>
      <c r="H5" s="4" t="s">
        <v>261</v>
      </c>
    </row>
    <row r="6" customFormat="false" ht="49.5" hidden="false" customHeight="true" outlineLevel="0" collapsed="false">
      <c r="A6" s="6" t="s">
        <v>262</v>
      </c>
      <c r="B6" s="6" t="s">
        <v>263</v>
      </c>
      <c r="C6" s="26" t="n">
        <v>1</v>
      </c>
      <c r="D6" s="6" t="s">
        <v>264</v>
      </c>
      <c r="E6" s="6" t="s">
        <v>265</v>
      </c>
      <c r="F6" s="6" t="s">
        <v>88</v>
      </c>
      <c r="G6" s="27" t="s">
        <v>256</v>
      </c>
      <c r="H6" s="6" t="s">
        <v>266</v>
      </c>
    </row>
    <row r="7" customFormat="false" ht="49.5" hidden="false" customHeight="true" outlineLevel="0" collapsed="false">
      <c r="A7" s="4" t="s">
        <v>267</v>
      </c>
      <c r="B7" s="4" t="s">
        <v>268</v>
      </c>
      <c r="C7" s="25" t="n">
        <v>4</v>
      </c>
      <c r="D7" s="4" t="s">
        <v>269</v>
      </c>
      <c r="E7" s="4" t="s">
        <v>265</v>
      </c>
      <c r="F7" s="4" t="s">
        <v>76</v>
      </c>
      <c r="G7" s="27" t="s">
        <v>256</v>
      </c>
      <c r="H7" s="4" t="s">
        <v>270</v>
      </c>
    </row>
    <row r="8" customFormat="false" ht="49.5" hidden="false" customHeight="true" outlineLevel="0" collapsed="false">
      <c r="A8" s="6" t="s">
        <v>271</v>
      </c>
      <c r="B8" s="6" t="s">
        <v>272</v>
      </c>
      <c r="C8" s="26" t="n">
        <v>1</v>
      </c>
      <c r="D8" s="6" t="s">
        <v>273</v>
      </c>
      <c r="E8" s="6" t="s">
        <v>265</v>
      </c>
      <c r="F8" s="6" t="s">
        <v>111</v>
      </c>
      <c r="G8" s="27" t="s">
        <v>256</v>
      </c>
      <c r="H8" s="6" t="s">
        <v>274</v>
      </c>
    </row>
    <row r="9" customFormat="false" ht="49.5" hidden="false" customHeight="true" outlineLevel="0" collapsed="false">
      <c r="A9" s="4" t="s">
        <v>275</v>
      </c>
      <c r="B9" s="4" t="s">
        <v>276</v>
      </c>
      <c r="C9" s="25" t="n">
        <v>2</v>
      </c>
      <c r="D9" s="4" t="s">
        <v>277</v>
      </c>
      <c r="E9" s="4" t="s">
        <v>265</v>
      </c>
      <c r="F9" s="4" t="s">
        <v>116</v>
      </c>
      <c r="G9" s="27" t="s">
        <v>256</v>
      </c>
      <c r="H9" s="4" t="s">
        <v>278</v>
      </c>
    </row>
    <row r="10" customFormat="false" ht="49.5" hidden="false" customHeight="true" outlineLevel="0" collapsed="false">
      <c r="A10" s="6" t="s">
        <v>279</v>
      </c>
      <c r="B10" s="6" t="s">
        <v>280</v>
      </c>
      <c r="C10" s="26" t="n">
        <v>4</v>
      </c>
      <c r="D10" s="6" t="s">
        <v>281</v>
      </c>
      <c r="E10" s="6" t="s">
        <v>265</v>
      </c>
      <c r="F10" s="6" t="s">
        <v>116</v>
      </c>
      <c r="G10" s="27" t="s">
        <v>256</v>
      </c>
      <c r="H10" s="6" t="s">
        <v>282</v>
      </c>
    </row>
    <row r="11" customFormat="false" ht="49.5" hidden="false" customHeight="true" outlineLevel="0" collapsed="false">
      <c r="A11" s="4" t="s">
        <v>283</v>
      </c>
      <c r="B11" s="4" t="s">
        <v>284</v>
      </c>
      <c r="C11" s="25" t="n">
        <v>1</v>
      </c>
      <c r="D11" s="4" t="s">
        <v>285</v>
      </c>
      <c r="E11" s="4" t="s">
        <v>286</v>
      </c>
      <c r="F11" s="4" t="s">
        <v>137</v>
      </c>
      <c r="G11" s="27" t="s">
        <v>256</v>
      </c>
      <c r="H11" s="4" t="s">
        <v>287</v>
      </c>
    </row>
    <row r="12" customFormat="false" ht="49.5" hidden="false" customHeight="true" outlineLevel="0" collapsed="false">
      <c r="A12" s="6" t="s">
        <v>288</v>
      </c>
      <c r="B12" s="6" t="s">
        <v>289</v>
      </c>
      <c r="C12" s="26" t="n">
        <v>1</v>
      </c>
      <c r="D12" s="6" t="s">
        <v>290</v>
      </c>
      <c r="E12" s="6" t="s">
        <v>286</v>
      </c>
      <c r="F12" s="6" t="s">
        <v>137</v>
      </c>
      <c r="G12" s="27" t="s">
        <v>256</v>
      </c>
      <c r="H12" s="6" t="s">
        <v>291</v>
      </c>
    </row>
    <row r="13" customFormat="false" ht="49.5" hidden="false" customHeight="true" outlineLevel="0" collapsed="false">
      <c r="A13" s="4" t="s">
        <v>292</v>
      </c>
      <c r="B13" s="4" t="s">
        <v>293</v>
      </c>
      <c r="C13" s="25" t="n">
        <v>1</v>
      </c>
      <c r="D13" s="4" t="s">
        <v>294</v>
      </c>
      <c r="E13" s="4" t="s">
        <v>286</v>
      </c>
      <c r="F13" s="4" t="s">
        <v>137</v>
      </c>
      <c r="G13" s="27" t="s">
        <v>256</v>
      </c>
      <c r="H13" s="4" t="s">
        <v>295</v>
      </c>
    </row>
  </sheetData>
  <autoFilter ref="A4:H13"/>
  <mergeCells count="2">
    <mergeCell ref="A1:H1"/>
    <mergeCell ref="A2:H2"/>
  </mergeCells>
  <hyperlinks>
    <hyperlink ref="G5" r:id="rId1" display="設計資料"/>
    <hyperlink ref="G6" r:id="rId2" display="設計資料"/>
    <hyperlink ref="G7" r:id="rId3" display="設計資料"/>
    <hyperlink ref="G8" r:id="rId4" display="設計資料"/>
    <hyperlink ref="G9" r:id="rId5" display="設計資料"/>
    <hyperlink ref="G10" r:id="rId6" display="設計資料"/>
    <hyperlink ref="G11" r:id="rId7" display="設計資料"/>
    <hyperlink ref="G12" r:id="rId8" display="設計資料"/>
    <hyperlink ref="G13" r:id="rId9" display="設計資料"/>
  </hyperlinks>
  <printOptions headings="false" gridLines="false" gridLinesSet="true" horizontalCentered="true" verticalCentered="false"/>
  <pageMargins left="0.25" right="0.25" top="0.35" bottom="0.3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&amp;CAMR-01 A6 | &amp;P / &amp;N</oddFooter>
  </headerFooter>
  <drawing r:id="rId10"/>
  <tableParts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5"/>
    <col collapsed="false" customWidth="true" hidden="false" outlineLevel="0" max="3" min="3" style="0" width="24"/>
    <col collapsed="false" customWidth="true" hidden="false" outlineLevel="0" max="4" min="4" style="0" width="66"/>
    <col collapsed="false" customWidth="true" hidden="false" outlineLevel="0" max="5" min="5" style="0" width="75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" t="s">
        <v>296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297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41</v>
      </c>
      <c r="B4" s="3" t="s">
        <v>298</v>
      </c>
      <c r="C4" s="3" t="s">
        <v>299</v>
      </c>
      <c r="D4" s="3" t="s">
        <v>300</v>
      </c>
      <c r="E4" s="3" t="s">
        <v>301</v>
      </c>
      <c r="F4" s="3" t="s">
        <v>302</v>
      </c>
    </row>
    <row r="5" customFormat="false" ht="60" hidden="false" customHeight="true" outlineLevel="0" collapsed="false">
      <c r="A5" s="4" t="s">
        <v>303</v>
      </c>
      <c r="B5" s="4" t="s">
        <v>304</v>
      </c>
      <c r="C5" s="4" t="s">
        <v>128</v>
      </c>
      <c r="D5" s="4" t="s">
        <v>305</v>
      </c>
      <c r="E5" s="4" t="s">
        <v>306</v>
      </c>
      <c r="F5" s="4" t="s">
        <v>307</v>
      </c>
    </row>
    <row r="6" customFormat="false" ht="60" hidden="false" customHeight="true" outlineLevel="0" collapsed="false">
      <c r="A6" s="6" t="s">
        <v>308</v>
      </c>
      <c r="B6" s="6" t="s">
        <v>309</v>
      </c>
      <c r="C6" s="6" t="s">
        <v>310</v>
      </c>
      <c r="D6" s="6" t="s">
        <v>311</v>
      </c>
      <c r="E6" s="6" t="s">
        <v>312</v>
      </c>
      <c r="F6" s="6" t="s">
        <v>307</v>
      </c>
    </row>
    <row r="7" customFormat="false" ht="60" hidden="false" customHeight="true" outlineLevel="0" collapsed="false">
      <c r="A7" s="4" t="s">
        <v>313</v>
      </c>
      <c r="B7" s="4" t="s">
        <v>314</v>
      </c>
      <c r="C7" s="4" t="s">
        <v>128</v>
      </c>
      <c r="D7" s="4" t="s">
        <v>315</v>
      </c>
      <c r="E7" s="4" t="s">
        <v>316</v>
      </c>
      <c r="F7" s="4" t="s">
        <v>307</v>
      </c>
    </row>
    <row r="8" customFormat="false" ht="60" hidden="false" customHeight="true" outlineLevel="0" collapsed="false">
      <c r="A8" s="6" t="s">
        <v>317</v>
      </c>
      <c r="B8" s="6" t="s">
        <v>318</v>
      </c>
      <c r="C8" s="6" t="s">
        <v>310</v>
      </c>
      <c r="D8" s="6" t="s">
        <v>319</v>
      </c>
      <c r="E8" s="6" t="s">
        <v>320</v>
      </c>
      <c r="F8" s="6" t="s">
        <v>307</v>
      </c>
    </row>
    <row r="9" customFormat="false" ht="60" hidden="false" customHeight="true" outlineLevel="0" collapsed="false">
      <c r="A9" s="4" t="s">
        <v>321</v>
      </c>
      <c r="B9" s="4" t="s">
        <v>322</v>
      </c>
      <c r="C9" s="4" t="s">
        <v>84</v>
      </c>
      <c r="D9" s="4" t="s">
        <v>323</v>
      </c>
      <c r="E9" s="4" t="s">
        <v>324</v>
      </c>
      <c r="F9" s="4" t="s">
        <v>307</v>
      </c>
    </row>
    <row r="10" customFormat="false" ht="60" hidden="false" customHeight="true" outlineLevel="0" collapsed="false">
      <c r="A10" s="6" t="s">
        <v>325</v>
      </c>
      <c r="B10" s="6" t="s">
        <v>326</v>
      </c>
      <c r="C10" s="6" t="s">
        <v>128</v>
      </c>
      <c r="D10" s="6" t="s">
        <v>327</v>
      </c>
      <c r="E10" s="6" t="s">
        <v>328</v>
      </c>
      <c r="F10" s="6" t="s">
        <v>307</v>
      </c>
    </row>
    <row r="11" customFormat="false" ht="60" hidden="false" customHeight="true" outlineLevel="0" collapsed="false">
      <c r="A11" s="4" t="s">
        <v>329</v>
      </c>
      <c r="B11" s="4" t="s">
        <v>330</v>
      </c>
      <c r="C11" s="4" t="s">
        <v>331</v>
      </c>
      <c r="D11" s="4" t="s">
        <v>332</v>
      </c>
      <c r="E11" s="4" t="s">
        <v>333</v>
      </c>
      <c r="F11" s="4" t="s">
        <v>307</v>
      </c>
    </row>
    <row r="12" customFormat="false" ht="60" hidden="false" customHeight="true" outlineLevel="0" collapsed="false">
      <c r="A12" s="6" t="s">
        <v>334</v>
      </c>
      <c r="B12" s="6" t="s">
        <v>335</v>
      </c>
      <c r="C12" s="6" t="s">
        <v>128</v>
      </c>
      <c r="D12" s="6" t="s">
        <v>336</v>
      </c>
      <c r="E12" s="6" t="s">
        <v>337</v>
      </c>
      <c r="F12" s="6" t="s">
        <v>307</v>
      </c>
    </row>
    <row r="13" customFormat="false" ht="60" hidden="false" customHeight="true" outlineLevel="0" collapsed="false">
      <c r="A13" s="4" t="s">
        <v>338</v>
      </c>
      <c r="B13" s="4" t="s">
        <v>339</v>
      </c>
      <c r="C13" s="4" t="s">
        <v>340</v>
      </c>
      <c r="D13" s="4" t="s">
        <v>341</v>
      </c>
      <c r="E13" s="4" t="s">
        <v>342</v>
      </c>
      <c r="F13" s="4" t="s">
        <v>307</v>
      </c>
    </row>
    <row r="14" customFormat="false" ht="60" hidden="false" customHeight="true" outlineLevel="0" collapsed="false">
      <c r="A14" s="6" t="s">
        <v>343</v>
      </c>
      <c r="B14" s="6" t="s">
        <v>344</v>
      </c>
      <c r="C14" s="6" t="s">
        <v>128</v>
      </c>
      <c r="D14" s="6" t="s">
        <v>345</v>
      </c>
      <c r="E14" s="6" t="s">
        <v>346</v>
      </c>
      <c r="F14" s="6" t="s">
        <v>307</v>
      </c>
    </row>
    <row r="15" customFormat="false" ht="60" hidden="false" customHeight="true" outlineLevel="0" collapsed="false">
      <c r="A15" s="4" t="s">
        <v>347</v>
      </c>
      <c r="B15" s="4" t="s">
        <v>348</v>
      </c>
      <c r="C15" s="4" t="s">
        <v>128</v>
      </c>
      <c r="D15" s="4" t="s">
        <v>349</v>
      </c>
      <c r="E15" s="4" t="s">
        <v>350</v>
      </c>
      <c r="F15" s="4" t="s">
        <v>307</v>
      </c>
    </row>
    <row r="16" customFormat="false" ht="60" hidden="false" customHeight="true" outlineLevel="0" collapsed="false">
      <c r="A16" s="6" t="s">
        <v>351</v>
      </c>
      <c r="B16" s="6" t="s">
        <v>352</v>
      </c>
      <c r="C16" s="6" t="s">
        <v>128</v>
      </c>
      <c r="D16" s="6" t="s">
        <v>353</v>
      </c>
      <c r="E16" s="6" t="s">
        <v>354</v>
      </c>
      <c r="F16" s="6" t="s">
        <v>307</v>
      </c>
    </row>
    <row r="17" customFormat="false" ht="60" hidden="false" customHeight="true" outlineLevel="0" collapsed="false">
      <c r="A17" s="4" t="s">
        <v>355</v>
      </c>
      <c r="B17" s="4" t="s">
        <v>356</v>
      </c>
      <c r="C17" s="4" t="s">
        <v>357</v>
      </c>
      <c r="D17" s="4" t="s">
        <v>358</v>
      </c>
      <c r="E17" s="4" t="s">
        <v>359</v>
      </c>
      <c r="F17" s="4" t="s">
        <v>307</v>
      </c>
    </row>
    <row r="18" customFormat="false" ht="60" hidden="false" customHeight="true" outlineLevel="0" collapsed="false">
      <c r="A18" s="6" t="s">
        <v>360</v>
      </c>
      <c r="B18" s="6" t="s">
        <v>361</v>
      </c>
      <c r="C18" s="6" t="s">
        <v>128</v>
      </c>
      <c r="D18" s="6" t="s">
        <v>362</v>
      </c>
      <c r="E18" s="6" t="s">
        <v>363</v>
      </c>
      <c r="F18" s="6" t="s">
        <v>307</v>
      </c>
    </row>
    <row r="19" customFormat="false" ht="60" hidden="false" customHeight="true" outlineLevel="0" collapsed="false">
      <c r="A19" s="4" t="s">
        <v>364</v>
      </c>
      <c r="B19" s="4" t="s">
        <v>365</v>
      </c>
      <c r="C19" s="4" t="s">
        <v>366</v>
      </c>
      <c r="D19" s="4" t="s">
        <v>367</v>
      </c>
      <c r="E19" s="4" t="s">
        <v>368</v>
      </c>
      <c r="F19" s="4" t="s">
        <v>307</v>
      </c>
    </row>
    <row r="20" customFormat="false" ht="60" hidden="false" customHeight="true" outlineLevel="0" collapsed="false">
      <c r="A20" s="6" t="s">
        <v>369</v>
      </c>
      <c r="B20" s="6" t="s">
        <v>370</v>
      </c>
      <c r="C20" s="6" t="s">
        <v>128</v>
      </c>
      <c r="D20" s="6" t="s">
        <v>371</v>
      </c>
      <c r="E20" s="6" t="s">
        <v>372</v>
      </c>
      <c r="F20" s="6" t="s">
        <v>307</v>
      </c>
    </row>
    <row r="21" customFormat="false" ht="60" hidden="false" customHeight="true" outlineLevel="0" collapsed="false">
      <c r="A21" s="4" t="s">
        <v>373</v>
      </c>
      <c r="B21" s="4" t="s">
        <v>374</v>
      </c>
      <c r="C21" s="4" t="s">
        <v>375</v>
      </c>
      <c r="D21" s="4" t="s">
        <v>376</v>
      </c>
      <c r="E21" s="4" t="s">
        <v>377</v>
      </c>
      <c r="F21" s="4" t="s">
        <v>307</v>
      </c>
    </row>
    <row r="22" customFormat="false" ht="60" hidden="false" customHeight="true" outlineLevel="0" collapsed="false">
      <c r="A22" s="6" t="s">
        <v>378</v>
      </c>
      <c r="B22" s="6" t="s">
        <v>379</v>
      </c>
      <c r="C22" s="6" t="s">
        <v>380</v>
      </c>
      <c r="D22" s="6" t="s">
        <v>381</v>
      </c>
      <c r="E22" s="6" t="s">
        <v>382</v>
      </c>
      <c r="F22" s="6" t="s">
        <v>383</v>
      </c>
    </row>
    <row r="23" customFormat="false" ht="60" hidden="false" customHeight="true" outlineLevel="0" collapsed="false">
      <c r="A23" s="4" t="s">
        <v>384</v>
      </c>
      <c r="B23" s="4" t="s">
        <v>385</v>
      </c>
      <c r="C23" s="4" t="s">
        <v>134</v>
      </c>
      <c r="D23" s="4" t="s">
        <v>386</v>
      </c>
      <c r="E23" s="4" t="s">
        <v>387</v>
      </c>
      <c r="F23" s="4" t="s">
        <v>388</v>
      </c>
    </row>
    <row r="24" customFormat="false" ht="60" hidden="false" customHeight="true" outlineLevel="0" collapsed="false">
      <c r="A24" s="6" t="s">
        <v>389</v>
      </c>
      <c r="B24" s="6" t="s">
        <v>390</v>
      </c>
      <c r="C24" s="6" t="s">
        <v>128</v>
      </c>
      <c r="D24" s="6" t="s">
        <v>391</v>
      </c>
      <c r="E24" s="6" t="s">
        <v>392</v>
      </c>
      <c r="F24" s="6" t="s">
        <v>393</v>
      </c>
    </row>
  </sheetData>
  <autoFilter ref="A4:F24"/>
  <mergeCells count="2">
    <mergeCell ref="A1:F1"/>
    <mergeCell ref="A2:F2"/>
  </mergeCells>
  <printOptions headings="false" gridLines="false" gridLinesSet="true" horizontalCentered="tru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&amp;CAMR-01 A6 | &amp;P / &amp;N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83"/>
    <col collapsed="false" customWidth="true" hidden="false" outlineLevel="0" max="4" min="4" style="0" width="16"/>
    <col collapsed="false" customWidth="true" hidden="false" outlineLevel="0" max="5" min="5" style="0" width="55"/>
  </cols>
  <sheetData>
    <row r="1" customFormat="false" ht="33.75" hidden="false" customHeight="true" outlineLevel="0" collapsed="false">
      <c r="A1" s="1" t="s">
        <v>394</v>
      </c>
      <c r="B1" s="1"/>
      <c r="C1" s="1"/>
      <c r="D1" s="1"/>
      <c r="E1" s="1"/>
    </row>
    <row r="2" customFormat="false" ht="33.75" hidden="false" customHeight="true" outlineLevel="0" collapsed="false">
      <c r="A2" s="2" t="s">
        <v>395</v>
      </c>
      <c r="B2" s="2"/>
      <c r="C2" s="2"/>
      <c r="D2" s="2"/>
      <c r="E2" s="2"/>
    </row>
    <row r="4" customFormat="false" ht="30" hidden="false" customHeight="true" outlineLevel="0" collapsed="false">
      <c r="A4" s="3" t="s">
        <v>396</v>
      </c>
      <c r="B4" s="3" t="s">
        <v>397</v>
      </c>
      <c r="C4" s="3" t="s">
        <v>398</v>
      </c>
      <c r="D4" s="3" t="s">
        <v>399</v>
      </c>
      <c r="E4" s="3" t="s">
        <v>400</v>
      </c>
    </row>
    <row r="5" customFormat="false" ht="31.5" hidden="false" customHeight="true" outlineLevel="0" collapsed="false">
      <c r="A5" s="4" t="s">
        <v>401</v>
      </c>
      <c r="B5" s="4" t="s">
        <v>52</v>
      </c>
      <c r="C5" s="4" t="s">
        <v>402</v>
      </c>
      <c r="D5" s="4" t="s">
        <v>403</v>
      </c>
      <c r="E5" s="4"/>
    </row>
    <row r="6" customFormat="false" ht="31.5" hidden="false" customHeight="true" outlineLevel="0" collapsed="false">
      <c r="A6" s="6" t="s">
        <v>404</v>
      </c>
      <c r="B6" s="6" t="s">
        <v>52</v>
      </c>
      <c r="C6" s="6" t="s">
        <v>405</v>
      </c>
      <c r="D6" s="6" t="s">
        <v>403</v>
      </c>
      <c r="E6" s="6"/>
    </row>
    <row r="7" customFormat="false" ht="31.5" hidden="false" customHeight="true" outlineLevel="0" collapsed="false">
      <c r="A7" s="4" t="s">
        <v>406</v>
      </c>
      <c r="B7" s="4" t="s">
        <v>52</v>
      </c>
      <c r="C7" s="4" t="s">
        <v>407</v>
      </c>
      <c r="D7" s="4" t="s">
        <v>403</v>
      </c>
      <c r="E7" s="4"/>
    </row>
    <row r="8" customFormat="false" ht="31.5" hidden="false" customHeight="true" outlineLevel="0" collapsed="false">
      <c r="A8" s="6" t="s">
        <v>408</v>
      </c>
      <c r="B8" s="6" t="s">
        <v>52</v>
      </c>
      <c r="C8" s="6" t="s">
        <v>409</v>
      </c>
      <c r="D8" s="6" t="s">
        <v>403</v>
      </c>
      <c r="E8" s="6"/>
    </row>
    <row r="9" customFormat="false" ht="31.5" hidden="false" customHeight="true" outlineLevel="0" collapsed="false">
      <c r="A9" s="4" t="s">
        <v>410</v>
      </c>
      <c r="B9" s="4" t="s">
        <v>60</v>
      </c>
      <c r="C9" s="4" t="s">
        <v>411</v>
      </c>
      <c r="D9" s="4" t="s">
        <v>403</v>
      </c>
      <c r="E9" s="4"/>
    </row>
    <row r="10" customFormat="false" ht="31.5" hidden="false" customHeight="true" outlineLevel="0" collapsed="false">
      <c r="A10" s="6" t="s">
        <v>412</v>
      </c>
      <c r="B10" s="6" t="s">
        <v>60</v>
      </c>
      <c r="C10" s="6" t="s">
        <v>413</v>
      </c>
      <c r="D10" s="6" t="s">
        <v>403</v>
      </c>
      <c r="E10" s="6"/>
    </row>
    <row r="11" customFormat="false" ht="31.5" hidden="false" customHeight="true" outlineLevel="0" collapsed="false">
      <c r="A11" s="4" t="s">
        <v>414</v>
      </c>
      <c r="B11" s="4" t="s">
        <v>64</v>
      </c>
      <c r="C11" s="4" t="s">
        <v>415</v>
      </c>
      <c r="D11" s="4" t="s">
        <v>403</v>
      </c>
      <c r="E11" s="4"/>
    </row>
    <row r="12" customFormat="false" ht="31.5" hidden="false" customHeight="true" outlineLevel="0" collapsed="false">
      <c r="A12" s="6" t="s">
        <v>416</v>
      </c>
      <c r="B12" s="6" t="s">
        <v>64</v>
      </c>
      <c r="C12" s="6" t="s">
        <v>417</v>
      </c>
      <c r="D12" s="6" t="s">
        <v>418</v>
      </c>
      <c r="E12" s="6" t="s">
        <v>243</v>
      </c>
    </row>
    <row r="13" customFormat="false" ht="31.5" hidden="false" customHeight="true" outlineLevel="0" collapsed="false">
      <c r="A13" s="4" t="s">
        <v>419</v>
      </c>
      <c r="B13" s="4" t="s">
        <v>64</v>
      </c>
      <c r="C13" s="4" t="s">
        <v>420</v>
      </c>
      <c r="D13" s="4" t="s">
        <v>418</v>
      </c>
      <c r="E13" s="4" t="s">
        <v>228</v>
      </c>
    </row>
    <row r="14" customFormat="false" ht="31.5" hidden="false" customHeight="true" outlineLevel="0" collapsed="false">
      <c r="A14" s="6" t="s">
        <v>421</v>
      </c>
      <c r="B14" s="6" t="s">
        <v>64</v>
      </c>
      <c r="C14" s="6" t="s">
        <v>422</v>
      </c>
      <c r="D14" s="6" t="s">
        <v>418</v>
      </c>
      <c r="E14" s="6" t="s">
        <v>243</v>
      </c>
    </row>
    <row r="15" customFormat="false" ht="31.5" hidden="false" customHeight="true" outlineLevel="0" collapsed="false">
      <c r="A15" s="4" t="s">
        <v>423</v>
      </c>
      <c r="B15" s="4" t="s">
        <v>64</v>
      </c>
      <c r="C15" s="4" t="s">
        <v>424</v>
      </c>
      <c r="D15" s="4" t="s">
        <v>418</v>
      </c>
      <c r="E15" s="4" t="s">
        <v>228</v>
      </c>
    </row>
    <row r="16" customFormat="false" ht="31.5" hidden="false" customHeight="true" outlineLevel="0" collapsed="false">
      <c r="A16" s="6" t="s">
        <v>425</v>
      </c>
      <c r="B16" s="6" t="s">
        <v>64</v>
      </c>
      <c r="C16" s="6" t="s">
        <v>426</v>
      </c>
      <c r="D16" s="6" t="s">
        <v>403</v>
      </c>
      <c r="E16" s="6"/>
    </row>
    <row r="17" customFormat="false" ht="31.5" hidden="false" customHeight="true" outlineLevel="0" collapsed="false">
      <c r="A17" s="4" t="s">
        <v>427</v>
      </c>
      <c r="B17" s="4" t="s">
        <v>64</v>
      </c>
      <c r="C17" s="4" t="s">
        <v>428</v>
      </c>
      <c r="D17" s="4" t="s">
        <v>418</v>
      </c>
      <c r="E17" s="4" t="s">
        <v>243</v>
      </c>
    </row>
    <row r="18" customFormat="false" ht="31.5" hidden="false" customHeight="true" outlineLevel="0" collapsed="false">
      <c r="A18" s="6" t="s">
        <v>429</v>
      </c>
      <c r="B18" s="6" t="s">
        <v>64</v>
      </c>
      <c r="C18" s="6" t="s">
        <v>430</v>
      </c>
      <c r="D18" s="6" t="s">
        <v>418</v>
      </c>
      <c r="E18" s="6" t="s">
        <v>228</v>
      </c>
    </row>
    <row r="19" customFormat="false" ht="31.5" hidden="false" customHeight="true" outlineLevel="0" collapsed="false">
      <c r="A19" s="4" t="s">
        <v>431</v>
      </c>
      <c r="B19" s="4" t="s">
        <v>64</v>
      </c>
      <c r="C19" s="4" t="s">
        <v>432</v>
      </c>
      <c r="D19" s="4" t="s">
        <v>418</v>
      </c>
      <c r="E19" s="4" t="s">
        <v>243</v>
      </c>
    </row>
    <row r="20" customFormat="false" ht="31.5" hidden="false" customHeight="true" outlineLevel="0" collapsed="false">
      <c r="A20" s="6" t="s">
        <v>433</v>
      </c>
      <c r="B20" s="6" t="s">
        <v>64</v>
      </c>
      <c r="C20" s="6" t="s">
        <v>434</v>
      </c>
      <c r="D20" s="6" t="s">
        <v>418</v>
      </c>
      <c r="E20" s="6" t="s">
        <v>228</v>
      </c>
    </row>
    <row r="21" customFormat="false" ht="31.5" hidden="false" customHeight="true" outlineLevel="0" collapsed="false">
      <c r="A21" s="4" t="s">
        <v>435</v>
      </c>
      <c r="B21" s="4" t="s">
        <v>64</v>
      </c>
      <c r="C21" s="4" t="s">
        <v>436</v>
      </c>
      <c r="D21" s="4" t="s">
        <v>403</v>
      </c>
      <c r="E21" s="4"/>
    </row>
    <row r="22" customFormat="false" ht="31.5" hidden="false" customHeight="true" outlineLevel="0" collapsed="false">
      <c r="A22" s="6" t="s">
        <v>437</v>
      </c>
      <c r="B22" s="6" t="s">
        <v>64</v>
      </c>
      <c r="C22" s="6" t="s">
        <v>438</v>
      </c>
      <c r="D22" s="6" t="s">
        <v>418</v>
      </c>
      <c r="E22" s="6" t="s">
        <v>243</v>
      </c>
    </row>
    <row r="23" customFormat="false" ht="31.5" hidden="false" customHeight="true" outlineLevel="0" collapsed="false">
      <c r="A23" s="4" t="s">
        <v>439</v>
      </c>
      <c r="B23" s="4" t="s">
        <v>64</v>
      </c>
      <c r="C23" s="4" t="s">
        <v>440</v>
      </c>
      <c r="D23" s="4" t="s">
        <v>418</v>
      </c>
      <c r="E23" s="4" t="s">
        <v>228</v>
      </c>
    </row>
    <row r="24" customFormat="false" ht="31.5" hidden="false" customHeight="true" outlineLevel="0" collapsed="false">
      <c r="A24" s="6" t="s">
        <v>441</v>
      </c>
      <c r="B24" s="6" t="s">
        <v>64</v>
      </c>
      <c r="C24" s="6" t="s">
        <v>442</v>
      </c>
      <c r="D24" s="6" t="s">
        <v>418</v>
      </c>
      <c r="E24" s="6" t="s">
        <v>243</v>
      </c>
    </row>
    <row r="25" customFormat="false" ht="31.5" hidden="false" customHeight="true" outlineLevel="0" collapsed="false">
      <c r="A25" s="4" t="s">
        <v>443</v>
      </c>
      <c r="B25" s="4" t="s">
        <v>64</v>
      </c>
      <c r="C25" s="4" t="s">
        <v>444</v>
      </c>
      <c r="D25" s="4" t="s">
        <v>418</v>
      </c>
      <c r="E25" s="4" t="s">
        <v>228</v>
      </c>
    </row>
    <row r="26" customFormat="false" ht="31.5" hidden="false" customHeight="true" outlineLevel="0" collapsed="false">
      <c r="A26" s="6" t="s">
        <v>445</v>
      </c>
      <c r="B26" s="6" t="s">
        <v>64</v>
      </c>
      <c r="C26" s="6" t="s">
        <v>446</v>
      </c>
      <c r="D26" s="6" t="s">
        <v>403</v>
      </c>
      <c r="E26" s="6"/>
    </row>
    <row r="27" customFormat="false" ht="31.5" hidden="false" customHeight="true" outlineLevel="0" collapsed="false">
      <c r="A27" s="4" t="s">
        <v>447</v>
      </c>
      <c r="B27" s="4" t="s">
        <v>64</v>
      </c>
      <c r="C27" s="4" t="s">
        <v>448</v>
      </c>
      <c r="D27" s="4" t="s">
        <v>418</v>
      </c>
      <c r="E27" s="4" t="s">
        <v>243</v>
      </c>
    </row>
    <row r="28" customFormat="false" ht="31.5" hidden="false" customHeight="true" outlineLevel="0" collapsed="false">
      <c r="A28" s="6" t="s">
        <v>449</v>
      </c>
      <c r="B28" s="6" t="s">
        <v>64</v>
      </c>
      <c r="C28" s="6" t="s">
        <v>450</v>
      </c>
      <c r="D28" s="6" t="s">
        <v>418</v>
      </c>
      <c r="E28" s="6" t="s">
        <v>228</v>
      </c>
    </row>
    <row r="29" customFormat="false" ht="31.5" hidden="false" customHeight="true" outlineLevel="0" collapsed="false">
      <c r="A29" s="4" t="s">
        <v>451</v>
      </c>
      <c r="B29" s="4" t="s">
        <v>64</v>
      </c>
      <c r="C29" s="4" t="s">
        <v>452</v>
      </c>
      <c r="D29" s="4" t="s">
        <v>418</v>
      </c>
      <c r="E29" s="4" t="s">
        <v>243</v>
      </c>
    </row>
    <row r="30" customFormat="false" ht="31.5" hidden="false" customHeight="true" outlineLevel="0" collapsed="false">
      <c r="A30" s="6" t="s">
        <v>453</v>
      </c>
      <c r="B30" s="6" t="s">
        <v>64</v>
      </c>
      <c r="C30" s="6" t="s">
        <v>454</v>
      </c>
      <c r="D30" s="6" t="s">
        <v>418</v>
      </c>
      <c r="E30" s="6" t="s">
        <v>228</v>
      </c>
    </row>
    <row r="31" customFormat="false" ht="31.5" hidden="false" customHeight="true" outlineLevel="0" collapsed="false">
      <c r="A31" s="4" t="s">
        <v>455</v>
      </c>
      <c r="B31" s="4" t="s">
        <v>76</v>
      </c>
      <c r="C31" s="4" t="s">
        <v>456</v>
      </c>
      <c r="D31" s="4" t="s">
        <v>403</v>
      </c>
      <c r="E31" s="4"/>
    </row>
    <row r="32" customFormat="false" ht="31.5" hidden="false" customHeight="true" outlineLevel="0" collapsed="false">
      <c r="A32" s="6" t="s">
        <v>457</v>
      </c>
      <c r="B32" s="6" t="s">
        <v>148</v>
      </c>
      <c r="C32" s="6" t="s">
        <v>458</v>
      </c>
      <c r="D32" s="6" t="s">
        <v>418</v>
      </c>
      <c r="E32" s="6" t="s">
        <v>241</v>
      </c>
    </row>
    <row r="33" customFormat="false" ht="31.5" hidden="false" customHeight="true" outlineLevel="0" collapsed="false">
      <c r="A33" s="4" t="s">
        <v>459</v>
      </c>
      <c r="B33" s="4" t="s">
        <v>148</v>
      </c>
      <c r="C33" s="4" t="s">
        <v>460</v>
      </c>
      <c r="D33" s="4" t="s">
        <v>418</v>
      </c>
      <c r="E33" s="4" t="s">
        <v>243</v>
      </c>
    </row>
    <row r="34" customFormat="false" ht="31.5" hidden="false" customHeight="true" outlineLevel="0" collapsed="false">
      <c r="A34" s="6" t="s">
        <v>461</v>
      </c>
      <c r="B34" s="6" t="s">
        <v>70</v>
      </c>
      <c r="C34" s="6" t="s">
        <v>462</v>
      </c>
      <c r="D34" s="6" t="s">
        <v>418</v>
      </c>
      <c r="E34" s="6" t="s">
        <v>228</v>
      </c>
    </row>
    <row r="35" customFormat="false" ht="31.5" hidden="false" customHeight="true" outlineLevel="0" collapsed="false">
      <c r="A35" s="4" t="s">
        <v>463</v>
      </c>
      <c r="B35" s="4" t="s">
        <v>148</v>
      </c>
      <c r="C35" s="4" t="s">
        <v>464</v>
      </c>
      <c r="D35" s="4" t="s">
        <v>418</v>
      </c>
      <c r="E35" s="4" t="s">
        <v>241</v>
      </c>
    </row>
    <row r="36" customFormat="false" ht="31.5" hidden="false" customHeight="true" outlineLevel="0" collapsed="false">
      <c r="A36" s="6" t="s">
        <v>465</v>
      </c>
      <c r="B36" s="6" t="s">
        <v>148</v>
      </c>
      <c r="C36" s="6" t="s">
        <v>466</v>
      </c>
      <c r="D36" s="6" t="s">
        <v>418</v>
      </c>
      <c r="E36" s="6" t="s">
        <v>243</v>
      </c>
    </row>
    <row r="37" customFormat="false" ht="31.5" hidden="false" customHeight="true" outlineLevel="0" collapsed="false">
      <c r="A37" s="4" t="s">
        <v>467</v>
      </c>
      <c r="B37" s="4" t="s">
        <v>70</v>
      </c>
      <c r="C37" s="4" t="s">
        <v>468</v>
      </c>
      <c r="D37" s="4" t="s">
        <v>418</v>
      </c>
      <c r="E37" s="4" t="s">
        <v>228</v>
      </c>
    </row>
    <row r="38" customFormat="false" ht="31.5" hidden="false" customHeight="true" outlineLevel="0" collapsed="false">
      <c r="A38" s="6" t="s">
        <v>469</v>
      </c>
      <c r="B38" s="6" t="s">
        <v>76</v>
      </c>
      <c r="C38" s="6" t="s">
        <v>470</v>
      </c>
      <c r="D38" s="6" t="s">
        <v>403</v>
      </c>
      <c r="E38" s="6"/>
    </row>
    <row r="39" customFormat="false" ht="31.5" hidden="false" customHeight="true" outlineLevel="0" collapsed="false">
      <c r="A39" s="4" t="s">
        <v>471</v>
      </c>
      <c r="B39" s="4" t="s">
        <v>148</v>
      </c>
      <c r="C39" s="4" t="s">
        <v>472</v>
      </c>
      <c r="D39" s="4" t="s">
        <v>418</v>
      </c>
      <c r="E39" s="4" t="s">
        <v>241</v>
      </c>
    </row>
    <row r="40" customFormat="false" ht="31.5" hidden="false" customHeight="true" outlineLevel="0" collapsed="false">
      <c r="A40" s="6" t="s">
        <v>473</v>
      </c>
      <c r="B40" s="6" t="s">
        <v>148</v>
      </c>
      <c r="C40" s="6" t="s">
        <v>474</v>
      </c>
      <c r="D40" s="6" t="s">
        <v>418</v>
      </c>
      <c r="E40" s="6" t="s">
        <v>243</v>
      </c>
    </row>
    <row r="41" customFormat="false" ht="31.5" hidden="false" customHeight="true" outlineLevel="0" collapsed="false">
      <c r="A41" s="4" t="s">
        <v>475</v>
      </c>
      <c r="B41" s="4" t="s">
        <v>70</v>
      </c>
      <c r="C41" s="4" t="s">
        <v>476</v>
      </c>
      <c r="D41" s="4" t="s">
        <v>418</v>
      </c>
      <c r="E41" s="4" t="s">
        <v>228</v>
      </c>
    </row>
    <row r="42" customFormat="false" ht="31.5" hidden="false" customHeight="true" outlineLevel="0" collapsed="false">
      <c r="A42" s="6" t="s">
        <v>477</v>
      </c>
      <c r="B42" s="6" t="s">
        <v>148</v>
      </c>
      <c r="C42" s="6" t="s">
        <v>478</v>
      </c>
      <c r="D42" s="6" t="s">
        <v>418</v>
      </c>
      <c r="E42" s="6" t="s">
        <v>241</v>
      </c>
    </row>
    <row r="43" customFormat="false" ht="31.5" hidden="false" customHeight="true" outlineLevel="0" collapsed="false">
      <c r="A43" s="4" t="s">
        <v>479</v>
      </c>
      <c r="B43" s="4" t="s">
        <v>148</v>
      </c>
      <c r="C43" s="4" t="s">
        <v>480</v>
      </c>
      <c r="D43" s="4" t="s">
        <v>418</v>
      </c>
      <c r="E43" s="4" t="s">
        <v>243</v>
      </c>
    </row>
    <row r="44" customFormat="false" ht="31.5" hidden="false" customHeight="true" outlineLevel="0" collapsed="false">
      <c r="A44" s="6" t="s">
        <v>481</v>
      </c>
      <c r="B44" s="6" t="s">
        <v>70</v>
      </c>
      <c r="C44" s="6" t="s">
        <v>482</v>
      </c>
      <c r="D44" s="6" t="s">
        <v>418</v>
      </c>
      <c r="E44" s="6" t="s">
        <v>228</v>
      </c>
    </row>
    <row r="45" customFormat="false" ht="31.5" hidden="false" customHeight="true" outlineLevel="0" collapsed="false">
      <c r="A45" s="4" t="s">
        <v>483</v>
      </c>
      <c r="B45" s="4" t="s">
        <v>64</v>
      </c>
      <c r="C45" s="4" t="s">
        <v>484</v>
      </c>
      <c r="D45" s="4" t="s">
        <v>403</v>
      </c>
      <c r="E45" s="4"/>
    </row>
    <row r="46" customFormat="false" ht="31.5" hidden="false" customHeight="true" outlineLevel="0" collapsed="false">
      <c r="A46" s="6" t="s">
        <v>485</v>
      </c>
      <c r="B46" s="6" t="s">
        <v>64</v>
      </c>
      <c r="C46" s="6" t="s">
        <v>486</v>
      </c>
      <c r="D46" s="6" t="s">
        <v>418</v>
      </c>
      <c r="E46" s="6" t="s">
        <v>243</v>
      </c>
    </row>
    <row r="47" customFormat="false" ht="31.5" hidden="false" customHeight="true" outlineLevel="0" collapsed="false">
      <c r="A47" s="4" t="s">
        <v>487</v>
      </c>
      <c r="B47" s="4" t="s">
        <v>64</v>
      </c>
      <c r="C47" s="4" t="s">
        <v>488</v>
      </c>
      <c r="D47" s="4" t="s">
        <v>418</v>
      </c>
      <c r="E47" s="4" t="s">
        <v>228</v>
      </c>
    </row>
    <row r="48" customFormat="false" ht="31.5" hidden="false" customHeight="true" outlineLevel="0" collapsed="false">
      <c r="A48" s="6" t="s">
        <v>489</v>
      </c>
      <c r="B48" s="6" t="s">
        <v>64</v>
      </c>
      <c r="C48" s="6" t="s">
        <v>490</v>
      </c>
      <c r="D48" s="6" t="s">
        <v>418</v>
      </c>
      <c r="E48" s="6" t="s">
        <v>243</v>
      </c>
    </row>
    <row r="49" customFormat="false" ht="31.5" hidden="false" customHeight="true" outlineLevel="0" collapsed="false">
      <c r="A49" s="4" t="s">
        <v>491</v>
      </c>
      <c r="B49" s="4" t="s">
        <v>64</v>
      </c>
      <c r="C49" s="4" t="s">
        <v>492</v>
      </c>
      <c r="D49" s="4" t="s">
        <v>418</v>
      </c>
      <c r="E49" s="4" t="s">
        <v>228</v>
      </c>
    </row>
    <row r="50" customFormat="false" ht="31.5" hidden="false" customHeight="true" outlineLevel="0" collapsed="false">
      <c r="A50" s="6" t="s">
        <v>493</v>
      </c>
      <c r="B50" s="6" t="s">
        <v>64</v>
      </c>
      <c r="C50" s="6" t="s">
        <v>494</v>
      </c>
      <c r="D50" s="6" t="s">
        <v>403</v>
      </c>
      <c r="E50" s="6"/>
    </row>
    <row r="51" customFormat="false" ht="31.5" hidden="false" customHeight="true" outlineLevel="0" collapsed="false">
      <c r="A51" s="4" t="s">
        <v>495</v>
      </c>
      <c r="B51" s="4" t="s">
        <v>64</v>
      </c>
      <c r="C51" s="4" t="s">
        <v>496</v>
      </c>
      <c r="D51" s="4" t="s">
        <v>418</v>
      </c>
      <c r="E51" s="4" t="s">
        <v>243</v>
      </c>
    </row>
    <row r="52" customFormat="false" ht="31.5" hidden="false" customHeight="true" outlineLevel="0" collapsed="false">
      <c r="A52" s="6" t="s">
        <v>497</v>
      </c>
      <c r="B52" s="6" t="s">
        <v>64</v>
      </c>
      <c r="C52" s="6" t="s">
        <v>498</v>
      </c>
      <c r="D52" s="6" t="s">
        <v>418</v>
      </c>
      <c r="E52" s="6" t="s">
        <v>228</v>
      </c>
    </row>
    <row r="53" customFormat="false" ht="31.5" hidden="false" customHeight="true" outlineLevel="0" collapsed="false">
      <c r="A53" s="4" t="s">
        <v>499</v>
      </c>
      <c r="B53" s="4" t="s">
        <v>64</v>
      </c>
      <c r="C53" s="4" t="s">
        <v>500</v>
      </c>
      <c r="D53" s="4" t="s">
        <v>418</v>
      </c>
      <c r="E53" s="4" t="s">
        <v>243</v>
      </c>
    </row>
    <row r="54" customFormat="false" ht="31.5" hidden="false" customHeight="true" outlineLevel="0" collapsed="false">
      <c r="A54" s="6" t="s">
        <v>501</v>
      </c>
      <c r="B54" s="6" t="s">
        <v>64</v>
      </c>
      <c r="C54" s="6" t="s">
        <v>502</v>
      </c>
      <c r="D54" s="6" t="s">
        <v>418</v>
      </c>
      <c r="E54" s="6" t="s">
        <v>228</v>
      </c>
    </row>
    <row r="55" customFormat="false" ht="31.5" hidden="false" customHeight="true" outlineLevel="0" collapsed="false">
      <c r="A55" s="4" t="s">
        <v>503</v>
      </c>
      <c r="B55" s="4" t="s">
        <v>64</v>
      </c>
      <c r="C55" s="4" t="s">
        <v>504</v>
      </c>
      <c r="D55" s="4" t="s">
        <v>403</v>
      </c>
      <c r="E55" s="4"/>
    </row>
    <row r="56" customFormat="false" ht="31.5" hidden="false" customHeight="true" outlineLevel="0" collapsed="false">
      <c r="A56" s="6" t="s">
        <v>505</v>
      </c>
      <c r="B56" s="6" t="s">
        <v>64</v>
      </c>
      <c r="C56" s="6" t="s">
        <v>506</v>
      </c>
      <c r="D56" s="6" t="s">
        <v>418</v>
      </c>
      <c r="E56" s="6" t="s">
        <v>243</v>
      </c>
    </row>
    <row r="57" customFormat="false" ht="31.5" hidden="false" customHeight="true" outlineLevel="0" collapsed="false">
      <c r="A57" s="4" t="s">
        <v>507</v>
      </c>
      <c r="B57" s="4" t="s">
        <v>64</v>
      </c>
      <c r="C57" s="4" t="s">
        <v>508</v>
      </c>
      <c r="D57" s="4" t="s">
        <v>418</v>
      </c>
      <c r="E57" s="4" t="s">
        <v>228</v>
      </c>
    </row>
    <row r="58" customFormat="false" ht="31.5" hidden="false" customHeight="true" outlineLevel="0" collapsed="false">
      <c r="A58" s="6" t="s">
        <v>509</v>
      </c>
      <c r="B58" s="6" t="s">
        <v>64</v>
      </c>
      <c r="C58" s="6" t="s">
        <v>510</v>
      </c>
      <c r="D58" s="6" t="s">
        <v>418</v>
      </c>
      <c r="E58" s="6" t="s">
        <v>243</v>
      </c>
    </row>
    <row r="59" customFormat="false" ht="31.5" hidden="false" customHeight="true" outlineLevel="0" collapsed="false">
      <c r="A59" s="4" t="s">
        <v>511</v>
      </c>
      <c r="B59" s="4" t="s">
        <v>64</v>
      </c>
      <c r="C59" s="4" t="s">
        <v>512</v>
      </c>
      <c r="D59" s="4" t="s">
        <v>418</v>
      </c>
      <c r="E59" s="4" t="s">
        <v>228</v>
      </c>
    </row>
    <row r="60" customFormat="false" ht="31.5" hidden="false" customHeight="true" outlineLevel="0" collapsed="false">
      <c r="A60" s="6" t="s">
        <v>513</v>
      </c>
      <c r="B60" s="6" t="s">
        <v>64</v>
      </c>
      <c r="C60" s="6" t="s">
        <v>514</v>
      </c>
      <c r="D60" s="6" t="s">
        <v>403</v>
      </c>
      <c r="E60" s="6"/>
    </row>
    <row r="61" customFormat="false" ht="31.5" hidden="false" customHeight="true" outlineLevel="0" collapsed="false">
      <c r="A61" s="4" t="s">
        <v>515</v>
      </c>
      <c r="B61" s="4" t="s">
        <v>64</v>
      </c>
      <c r="C61" s="4" t="s">
        <v>516</v>
      </c>
      <c r="D61" s="4" t="s">
        <v>418</v>
      </c>
      <c r="E61" s="4" t="s">
        <v>243</v>
      </c>
    </row>
    <row r="62" customFormat="false" ht="31.5" hidden="false" customHeight="true" outlineLevel="0" collapsed="false">
      <c r="A62" s="6" t="s">
        <v>517</v>
      </c>
      <c r="B62" s="6" t="s">
        <v>64</v>
      </c>
      <c r="C62" s="6" t="s">
        <v>518</v>
      </c>
      <c r="D62" s="6" t="s">
        <v>418</v>
      </c>
      <c r="E62" s="6" t="s">
        <v>228</v>
      </c>
    </row>
    <row r="63" customFormat="false" ht="31.5" hidden="false" customHeight="true" outlineLevel="0" collapsed="false">
      <c r="A63" s="4" t="s">
        <v>519</v>
      </c>
      <c r="B63" s="4" t="s">
        <v>64</v>
      </c>
      <c r="C63" s="4" t="s">
        <v>520</v>
      </c>
      <c r="D63" s="4" t="s">
        <v>418</v>
      </c>
      <c r="E63" s="4" t="s">
        <v>243</v>
      </c>
    </row>
    <row r="64" customFormat="false" ht="31.5" hidden="false" customHeight="true" outlineLevel="0" collapsed="false">
      <c r="A64" s="6" t="s">
        <v>521</v>
      </c>
      <c r="B64" s="6" t="s">
        <v>64</v>
      </c>
      <c r="C64" s="6" t="s">
        <v>522</v>
      </c>
      <c r="D64" s="6" t="s">
        <v>418</v>
      </c>
      <c r="E64" s="6" t="s">
        <v>228</v>
      </c>
    </row>
    <row r="65" customFormat="false" ht="31.5" hidden="false" customHeight="true" outlineLevel="0" collapsed="false">
      <c r="A65" s="4" t="s">
        <v>523</v>
      </c>
      <c r="B65" s="4" t="s">
        <v>76</v>
      </c>
      <c r="C65" s="4" t="s">
        <v>524</v>
      </c>
      <c r="D65" s="4" t="s">
        <v>403</v>
      </c>
      <c r="E65" s="4"/>
    </row>
    <row r="66" customFormat="false" ht="31.5" hidden="false" customHeight="true" outlineLevel="0" collapsed="false">
      <c r="A66" s="6" t="s">
        <v>525</v>
      </c>
      <c r="B66" s="6" t="s">
        <v>148</v>
      </c>
      <c r="C66" s="6" t="s">
        <v>526</v>
      </c>
      <c r="D66" s="6" t="s">
        <v>418</v>
      </c>
      <c r="E66" s="6" t="s">
        <v>241</v>
      </c>
    </row>
    <row r="67" customFormat="false" ht="31.5" hidden="false" customHeight="true" outlineLevel="0" collapsed="false">
      <c r="A67" s="4" t="s">
        <v>527</v>
      </c>
      <c r="B67" s="4" t="s">
        <v>148</v>
      </c>
      <c r="C67" s="4" t="s">
        <v>528</v>
      </c>
      <c r="D67" s="4" t="s">
        <v>418</v>
      </c>
      <c r="E67" s="4" t="s">
        <v>243</v>
      </c>
    </row>
    <row r="68" customFormat="false" ht="31.5" hidden="false" customHeight="true" outlineLevel="0" collapsed="false">
      <c r="A68" s="6" t="s">
        <v>529</v>
      </c>
      <c r="B68" s="6" t="s">
        <v>70</v>
      </c>
      <c r="C68" s="6" t="s">
        <v>530</v>
      </c>
      <c r="D68" s="6" t="s">
        <v>418</v>
      </c>
      <c r="E68" s="6" t="s">
        <v>228</v>
      </c>
    </row>
    <row r="69" customFormat="false" ht="31.5" hidden="false" customHeight="true" outlineLevel="0" collapsed="false">
      <c r="A69" s="4" t="s">
        <v>531</v>
      </c>
      <c r="B69" s="4" t="s">
        <v>148</v>
      </c>
      <c r="C69" s="4" t="s">
        <v>532</v>
      </c>
      <c r="D69" s="4" t="s">
        <v>418</v>
      </c>
      <c r="E69" s="4" t="s">
        <v>241</v>
      </c>
    </row>
    <row r="70" customFormat="false" ht="31.5" hidden="false" customHeight="true" outlineLevel="0" collapsed="false">
      <c r="A70" s="6" t="s">
        <v>533</v>
      </c>
      <c r="B70" s="6" t="s">
        <v>148</v>
      </c>
      <c r="C70" s="6" t="s">
        <v>534</v>
      </c>
      <c r="D70" s="6" t="s">
        <v>418</v>
      </c>
      <c r="E70" s="6" t="s">
        <v>243</v>
      </c>
    </row>
    <row r="71" customFormat="false" ht="31.5" hidden="false" customHeight="true" outlineLevel="0" collapsed="false">
      <c r="A71" s="4" t="s">
        <v>535</v>
      </c>
      <c r="B71" s="4" t="s">
        <v>70</v>
      </c>
      <c r="C71" s="4" t="s">
        <v>536</v>
      </c>
      <c r="D71" s="4" t="s">
        <v>418</v>
      </c>
      <c r="E71" s="4" t="s">
        <v>228</v>
      </c>
    </row>
    <row r="72" customFormat="false" ht="31.5" hidden="false" customHeight="true" outlineLevel="0" collapsed="false">
      <c r="A72" s="6" t="s">
        <v>537</v>
      </c>
      <c r="B72" s="6" t="s">
        <v>76</v>
      </c>
      <c r="C72" s="6" t="s">
        <v>538</v>
      </c>
      <c r="D72" s="6" t="s">
        <v>403</v>
      </c>
      <c r="E72" s="6"/>
    </row>
    <row r="73" customFormat="false" ht="31.5" hidden="false" customHeight="true" outlineLevel="0" collapsed="false">
      <c r="A73" s="4" t="s">
        <v>539</v>
      </c>
      <c r="B73" s="4" t="s">
        <v>148</v>
      </c>
      <c r="C73" s="4" t="s">
        <v>540</v>
      </c>
      <c r="D73" s="4" t="s">
        <v>418</v>
      </c>
      <c r="E73" s="4" t="s">
        <v>241</v>
      </c>
    </row>
    <row r="74" customFormat="false" ht="31.5" hidden="false" customHeight="true" outlineLevel="0" collapsed="false">
      <c r="A74" s="6" t="s">
        <v>541</v>
      </c>
      <c r="B74" s="6" t="s">
        <v>148</v>
      </c>
      <c r="C74" s="6" t="s">
        <v>542</v>
      </c>
      <c r="D74" s="6" t="s">
        <v>418</v>
      </c>
      <c r="E74" s="6" t="s">
        <v>243</v>
      </c>
    </row>
    <row r="75" customFormat="false" ht="31.5" hidden="false" customHeight="true" outlineLevel="0" collapsed="false">
      <c r="A75" s="4" t="s">
        <v>543</v>
      </c>
      <c r="B75" s="4" t="s">
        <v>70</v>
      </c>
      <c r="C75" s="4" t="s">
        <v>544</v>
      </c>
      <c r="D75" s="4" t="s">
        <v>418</v>
      </c>
      <c r="E75" s="4" t="s">
        <v>228</v>
      </c>
    </row>
    <row r="76" customFormat="false" ht="31.5" hidden="false" customHeight="true" outlineLevel="0" collapsed="false">
      <c r="A76" s="6" t="s">
        <v>545</v>
      </c>
      <c r="B76" s="6" t="s">
        <v>148</v>
      </c>
      <c r="C76" s="6" t="s">
        <v>546</v>
      </c>
      <c r="D76" s="6" t="s">
        <v>418</v>
      </c>
      <c r="E76" s="6" t="s">
        <v>241</v>
      </c>
    </row>
    <row r="77" customFormat="false" ht="31.5" hidden="false" customHeight="true" outlineLevel="0" collapsed="false">
      <c r="A77" s="4" t="s">
        <v>547</v>
      </c>
      <c r="B77" s="4" t="s">
        <v>148</v>
      </c>
      <c r="C77" s="4" t="s">
        <v>548</v>
      </c>
      <c r="D77" s="4" t="s">
        <v>418</v>
      </c>
      <c r="E77" s="4" t="s">
        <v>243</v>
      </c>
    </row>
    <row r="78" customFormat="false" ht="31.5" hidden="false" customHeight="true" outlineLevel="0" collapsed="false">
      <c r="A78" s="6" t="s">
        <v>549</v>
      </c>
      <c r="B78" s="6" t="s">
        <v>70</v>
      </c>
      <c r="C78" s="6" t="s">
        <v>550</v>
      </c>
      <c r="D78" s="6" t="s">
        <v>418</v>
      </c>
      <c r="E78" s="6" t="s">
        <v>228</v>
      </c>
    </row>
    <row r="79" customFormat="false" ht="31.5" hidden="false" customHeight="true" outlineLevel="0" collapsed="false">
      <c r="A79" s="4" t="s">
        <v>551</v>
      </c>
      <c r="B79" s="4" t="s">
        <v>105</v>
      </c>
      <c r="C79" s="4" t="s">
        <v>552</v>
      </c>
      <c r="D79" s="4" t="s">
        <v>403</v>
      </c>
      <c r="E79" s="4"/>
    </row>
    <row r="80" customFormat="false" ht="31.5" hidden="false" customHeight="true" outlineLevel="0" collapsed="false">
      <c r="A80" s="6" t="s">
        <v>553</v>
      </c>
      <c r="B80" s="6" t="s">
        <v>148</v>
      </c>
      <c r="C80" s="6" t="s">
        <v>554</v>
      </c>
      <c r="D80" s="6" t="s">
        <v>418</v>
      </c>
      <c r="E80" s="6" t="s">
        <v>243</v>
      </c>
    </row>
    <row r="81" customFormat="false" ht="31.5" hidden="false" customHeight="true" outlineLevel="0" collapsed="false">
      <c r="A81" s="4" t="s">
        <v>555</v>
      </c>
      <c r="B81" s="4" t="s">
        <v>70</v>
      </c>
      <c r="C81" s="4" t="s">
        <v>556</v>
      </c>
      <c r="D81" s="4" t="s">
        <v>418</v>
      </c>
      <c r="E81" s="4" t="s">
        <v>228</v>
      </c>
    </row>
    <row r="82" customFormat="false" ht="31.5" hidden="false" customHeight="true" outlineLevel="0" collapsed="false">
      <c r="A82" s="6" t="s">
        <v>557</v>
      </c>
      <c r="B82" s="6" t="s">
        <v>148</v>
      </c>
      <c r="C82" s="6" t="s">
        <v>558</v>
      </c>
      <c r="D82" s="6" t="s">
        <v>418</v>
      </c>
      <c r="E82" s="6" t="s">
        <v>243</v>
      </c>
    </row>
    <row r="83" customFormat="false" ht="31.5" hidden="false" customHeight="true" outlineLevel="0" collapsed="false">
      <c r="A83" s="4" t="s">
        <v>559</v>
      </c>
      <c r="B83" s="4" t="s">
        <v>70</v>
      </c>
      <c r="C83" s="4" t="s">
        <v>560</v>
      </c>
      <c r="D83" s="4" t="s">
        <v>418</v>
      </c>
      <c r="E83" s="4" t="s">
        <v>228</v>
      </c>
    </row>
    <row r="84" customFormat="false" ht="31.5" hidden="false" customHeight="true" outlineLevel="0" collapsed="false">
      <c r="A84" s="6" t="s">
        <v>561</v>
      </c>
      <c r="B84" s="6" t="s">
        <v>148</v>
      </c>
      <c r="C84" s="6" t="s">
        <v>562</v>
      </c>
      <c r="D84" s="6" t="s">
        <v>418</v>
      </c>
      <c r="E84" s="6" t="s">
        <v>231</v>
      </c>
    </row>
    <row r="85" customFormat="false" ht="31.5" hidden="false" customHeight="true" outlineLevel="0" collapsed="false">
      <c r="A85" s="4" t="s">
        <v>563</v>
      </c>
      <c r="B85" s="4" t="s">
        <v>148</v>
      </c>
      <c r="C85" s="4" t="s">
        <v>564</v>
      </c>
      <c r="D85" s="4" t="s">
        <v>418</v>
      </c>
      <c r="E85" s="4" t="s">
        <v>231</v>
      </c>
    </row>
    <row r="86" customFormat="false" ht="31.5" hidden="false" customHeight="true" outlineLevel="0" collapsed="false">
      <c r="A86" s="6" t="s">
        <v>565</v>
      </c>
      <c r="B86" s="6" t="s">
        <v>148</v>
      </c>
      <c r="C86" s="6" t="s">
        <v>566</v>
      </c>
      <c r="D86" s="6" t="s">
        <v>418</v>
      </c>
      <c r="E86" s="6" t="s">
        <v>231</v>
      </c>
    </row>
    <row r="87" customFormat="false" ht="31.5" hidden="false" customHeight="true" outlineLevel="0" collapsed="false">
      <c r="A87" s="4" t="s">
        <v>567</v>
      </c>
      <c r="B87" s="4" t="s">
        <v>92</v>
      </c>
      <c r="C87" s="4" t="s">
        <v>568</v>
      </c>
      <c r="D87" s="4" t="s">
        <v>569</v>
      </c>
      <c r="E87" s="4"/>
    </row>
    <row r="88" customFormat="false" ht="31.5" hidden="false" customHeight="true" outlineLevel="0" collapsed="false">
      <c r="A88" s="6" t="s">
        <v>570</v>
      </c>
      <c r="B88" s="6" t="s">
        <v>99</v>
      </c>
      <c r="C88" s="6" t="s">
        <v>571</v>
      </c>
      <c r="D88" s="6" t="s">
        <v>569</v>
      </c>
      <c r="E88" s="6"/>
    </row>
    <row r="89" customFormat="false" ht="31.5" hidden="false" customHeight="true" outlineLevel="0" collapsed="false">
      <c r="A89" s="4" t="s">
        <v>572</v>
      </c>
      <c r="B89" s="4" t="s">
        <v>99</v>
      </c>
      <c r="C89" s="4" t="s">
        <v>573</v>
      </c>
      <c r="D89" s="4" t="s">
        <v>569</v>
      </c>
      <c r="E89" s="4"/>
    </row>
    <row r="90" customFormat="false" ht="31.5" hidden="false" customHeight="true" outlineLevel="0" collapsed="false">
      <c r="A90" s="6" t="s">
        <v>574</v>
      </c>
      <c r="B90" s="6" t="s">
        <v>105</v>
      </c>
      <c r="C90" s="6" t="s">
        <v>575</v>
      </c>
      <c r="D90" s="6" t="s">
        <v>403</v>
      </c>
      <c r="E90" s="6"/>
    </row>
    <row r="91" customFormat="false" ht="31.5" hidden="false" customHeight="true" outlineLevel="0" collapsed="false">
      <c r="A91" s="4" t="s">
        <v>576</v>
      </c>
      <c r="B91" s="4" t="s">
        <v>148</v>
      </c>
      <c r="C91" s="4" t="s">
        <v>577</v>
      </c>
      <c r="D91" s="4" t="s">
        <v>418</v>
      </c>
      <c r="E91" s="4" t="s">
        <v>243</v>
      </c>
    </row>
    <row r="92" customFormat="false" ht="31.5" hidden="false" customHeight="true" outlineLevel="0" collapsed="false">
      <c r="A92" s="6" t="s">
        <v>578</v>
      </c>
      <c r="B92" s="6" t="s">
        <v>70</v>
      </c>
      <c r="C92" s="6" t="s">
        <v>579</v>
      </c>
      <c r="D92" s="6" t="s">
        <v>418</v>
      </c>
      <c r="E92" s="6" t="s">
        <v>228</v>
      </c>
    </row>
    <row r="93" customFormat="false" ht="31.5" hidden="false" customHeight="true" outlineLevel="0" collapsed="false">
      <c r="A93" s="4" t="s">
        <v>580</v>
      </c>
      <c r="B93" s="4" t="s">
        <v>148</v>
      </c>
      <c r="C93" s="4" t="s">
        <v>581</v>
      </c>
      <c r="D93" s="4" t="s">
        <v>418</v>
      </c>
      <c r="E93" s="4" t="s">
        <v>243</v>
      </c>
    </row>
    <row r="94" customFormat="false" ht="31.5" hidden="false" customHeight="true" outlineLevel="0" collapsed="false">
      <c r="A94" s="6" t="s">
        <v>582</v>
      </c>
      <c r="B94" s="6" t="s">
        <v>70</v>
      </c>
      <c r="C94" s="6" t="s">
        <v>583</v>
      </c>
      <c r="D94" s="6" t="s">
        <v>418</v>
      </c>
      <c r="E94" s="6" t="s">
        <v>228</v>
      </c>
    </row>
    <row r="95" customFormat="false" ht="31.5" hidden="false" customHeight="true" outlineLevel="0" collapsed="false">
      <c r="A95" s="4" t="s">
        <v>584</v>
      </c>
      <c r="B95" s="4" t="s">
        <v>148</v>
      </c>
      <c r="C95" s="4" t="s">
        <v>585</v>
      </c>
      <c r="D95" s="4" t="s">
        <v>418</v>
      </c>
      <c r="E95" s="4" t="s">
        <v>231</v>
      </c>
    </row>
    <row r="96" customFormat="false" ht="31.5" hidden="false" customHeight="true" outlineLevel="0" collapsed="false">
      <c r="A96" s="6" t="s">
        <v>586</v>
      </c>
      <c r="B96" s="6" t="s">
        <v>148</v>
      </c>
      <c r="C96" s="6" t="s">
        <v>587</v>
      </c>
      <c r="D96" s="6" t="s">
        <v>418</v>
      </c>
      <c r="E96" s="6" t="s">
        <v>231</v>
      </c>
    </row>
    <row r="97" customFormat="false" ht="31.5" hidden="false" customHeight="true" outlineLevel="0" collapsed="false">
      <c r="A97" s="4" t="s">
        <v>588</v>
      </c>
      <c r="B97" s="4" t="s">
        <v>148</v>
      </c>
      <c r="C97" s="4" t="s">
        <v>589</v>
      </c>
      <c r="D97" s="4" t="s">
        <v>418</v>
      </c>
      <c r="E97" s="4" t="s">
        <v>231</v>
      </c>
    </row>
    <row r="98" customFormat="false" ht="31.5" hidden="false" customHeight="true" outlineLevel="0" collapsed="false">
      <c r="A98" s="6" t="s">
        <v>590</v>
      </c>
      <c r="B98" s="6" t="s">
        <v>92</v>
      </c>
      <c r="C98" s="6" t="s">
        <v>591</v>
      </c>
      <c r="D98" s="6" t="s">
        <v>569</v>
      </c>
      <c r="E98" s="6"/>
    </row>
    <row r="99" customFormat="false" ht="31.5" hidden="false" customHeight="true" outlineLevel="0" collapsed="false">
      <c r="A99" s="4" t="s">
        <v>592</v>
      </c>
      <c r="B99" s="4" t="s">
        <v>99</v>
      </c>
      <c r="C99" s="4" t="s">
        <v>593</v>
      </c>
      <c r="D99" s="4" t="s">
        <v>569</v>
      </c>
      <c r="E99" s="4"/>
    </row>
    <row r="100" customFormat="false" ht="31.5" hidden="false" customHeight="true" outlineLevel="0" collapsed="false">
      <c r="A100" s="6" t="s">
        <v>594</v>
      </c>
      <c r="B100" s="6" t="s">
        <v>99</v>
      </c>
      <c r="C100" s="6" t="s">
        <v>595</v>
      </c>
      <c r="D100" s="6" t="s">
        <v>569</v>
      </c>
      <c r="E100" s="6"/>
    </row>
    <row r="101" customFormat="false" ht="31.5" hidden="false" customHeight="true" outlineLevel="0" collapsed="false">
      <c r="A101" s="4" t="s">
        <v>596</v>
      </c>
      <c r="B101" s="4" t="s">
        <v>88</v>
      </c>
      <c r="C101" s="4" t="s">
        <v>597</v>
      </c>
      <c r="D101" s="4" t="s">
        <v>403</v>
      </c>
      <c r="E101" s="4"/>
    </row>
    <row r="102" customFormat="false" ht="31.5" hidden="false" customHeight="true" outlineLevel="0" collapsed="false">
      <c r="A102" s="6" t="s">
        <v>598</v>
      </c>
      <c r="B102" s="6" t="s">
        <v>148</v>
      </c>
      <c r="C102" s="6" t="s">
        <v>599</v>
      </c>
      <c r="D102" s="6" t="s">
        <v>418</v>
      </c>
      <c r="E102" s="6" t="s">
        <v>241</v>
      </c>
    </row>
    <row r="103" customFormat="false" ht="31.5" hidden="false" customHeight="true" outlineLevel="0" collapsed="false">
      <c r="A103" s="4" t="s">
        <v>600</v>
      </c>
      <c r="B103" s="4" t="s">
        <v>148</v>
      </c>
      <c r="C103" s="4" t="s">
        <v>601</v>
      </c>
      <c r="D103" s="4" t="s">
        <v>418</v>
      </c>
      <c r="E103" s="4" t="s">
        <v>243</v>
      </c>
    </row>
    <row r="104" customFormat="false" ht="31.5" hidden="false" customHeight="true" outlineLevel="0" collapsed="false">
      <c r="A104" s="6" t="s">
        <v>602</v>
      </c>
      <c r="B104" s="6" t="s">
        <v>70</v>
      </c>
      <c r="C104" s="6" t="s">
        <v>603</v>
      </c>
      <c r="D104" s="6" t="s">
        <v>418</v>
      </c>
      <c r="E104" s="6" t="s">
        <v>228</v>
      </c>
    </row>
    <row r="105" customFormat="false" ht="31.5" hidden="false" customHeight="true" outlineLevel="0" collapsed="false">
      <c r="A105" s="4" t="s">
        <v>604</v>
      </c>
      <c r="B105" s="4" t="s">
        <v>148</v>
      </c>
      <c r="C105" s="4" t="s">
        <v>605</v>
      </c>
      <c r="D105" s="4" t="s">
        <v>418</v>
      </c>
      <c r="E105" s="4" t="s">
        <v>241</v>
      </c>
    </row>
    <row r="106" customFormat="false" ht="31.5" hidden="false" customHeight="true" outlineLevel="0" collapsed="false">
      <c r="A106" s="6" t="s">
        <v>606</v>
      </c>
      <c r="B106" s="6" t="s">
        <v>148</v>
      </c>
      <c r="C106" s="6" t="s">
        <v>607</v>
      </c>
      <c r="D106" s="6" t="s">
        <v>418</v>
      </c>
      <c r="E106" s="6" t="s">
        <v>243</v>
      </c>
    </row>
    <row r="107" customFormat="false" ht="31.5" hidden="false" customHeight="true" outlineLevel="0" collapsed="false">
      <c r="A107" s="4" t="s">
        <v>608</v>
      </c>
      <c r="B107" s="4" t="s">
        <v>70</v>
      </c>
      <c r="C107" s="4" t="s">
        <v>609</v>
      </c>
      <c r="D107" s="4" t="s">
        <v>418</v>
      </c>
      <c r="E107" s="4" t="s">
        <v>228</v>
      </c>
    </row>
    <row r="108" customFormat="false" ht="31.5" hidden="false" customHeight="true" outlineLevel="0" collapsed="false">
      <c r="A108" s="6" t="s">
        <v>610</v>
      </c>
      <c r="B108" s="6" t="s">
        <v>148</v>
      </c>
      <c r="C108" s="6" t="s">
        <v>611</v>
      </c>
      <c r="D108" s="6" t="s">
        <v>418</v>
      </c>
      <c r="E108" s="6" t="s">
        <v>241</v>
      </c>
    </row>
    <row r="109" customFormat="false" ht="31.5" hidden="false" customHeight="true" outlineLevel="0" collapsed="false">
      <c r="A109" s="4" t="s">
        <v>612</v>
      </c>
      <c r="B109" s="4" t="s">
        <v>148</v>
      </c>
      <c r="C109" s="4" t="s">
        <v>613</v>
      </c>
      <c r="D109" s="4" t="s">
        <v>418</v>
      </c>
      <c r="E109" s="4" t="s">
        <v>243</v>
      </c>
    </row>
    <row r="110" customFormat="false" ht="31.5" hidden="false" customHeight="true" outlineLevel="0" collapsed="false">
      <c r="A110" s="6" t="s">
        <v>614</v>
      </c>
      <c r="B110" s="6" t="s">
        <v>70</v>
      </c>
      <c r="C110" s="6" t="s">
        <v>615</v>
      </c>
      <c r="D110" s="6" t="s">
        <v>418</v>
      </c>
      <c r="E110" s="6" t="s">
        <v>228</v>
      </c>
    </row>
    <row r="111" customFormat="false" ht="31.5" hidden="false" customHeight="true" outlineLevel="0" collapsed="false">
      <c r="A111" s="4" t="s">
        <v>616</v>
      </c>
      <c r="B111" s="4" t="s">
        <v>148</v>
      </c>
      <c r="C111" s="4" t="s">
        <v>617</v>
      </c>
      <c r="D111" s="4" t="s">
        <v>418</v>
      </c>
      <c r="E111" s="4" t="s">
        <v>241</v>
      </c>
    </row>
    <row r="112" customFormat="false" ht="31.5" hidden="false" customHeight="true" outlineLevel="0" collapsed="false">
      <c r="A112" s="6" t="s">
        <v>618</v>
      </c>
      <c r="B112" s="6" t="s">
        <v>148</v>
      </c>
      <c r="C112" s="6" t="s">
        <v>619</v>
      </c>
      <c r="D112" s="6" t="s">
        <v>418</v>
      </c>
      <c r="E112" s="6" t="s">
        <v>243</v>
      </c>
    </row>
    <row r="113" customFormat="false" ht="31.5" hidden="false" customHeight="true" outlineLevel="0" collapsed="false">
      <c r="A113" s="4" t="s">
        <v>620</v>
      </c>
      <c r="B113" s="4" t="s">
        <v>70</v>
      </c>
      <c r="C113" s="4" t="s">
        <v>621</v>
      </c>
      <c r="D113" s="4" t="s">
        <v>418</v>
      </c>
      <c r="E113" s="4" t="s">
        <v>228</v>
      </c>
    </row>
    <row r="114" customFormat="false" ht="31.5" hidden="false" customHeight="true" outlineLevel="0" collapsed="false">
      <c r="A114" s="6" t="s">
        <v>622</v>
      </c>
      <c r="B114" s="6" t="s">
        <v>82</v>
      </c>
      <c r="C114" s="6" t="s">
        <v>623</v>
      </c>
      <c r="D114" s="6" t="s">
        <v>569</v>
      </c>
      <c r="E114" s="6"/>
    </row>
    <row r="115" customFormat="false" ht="31.5" hidden="false" customHeight="true" outlineLevel="0" collapsed="false">
      <c r="A115" s="4" t="s">
        <v>624</v>
      </c>
      <c r="B115" s="4" t="s">
        <v>148</v>
      </c>
      <c r="C115" s="4" t="s">
        <v>625</v>
      </c>
      <c r="D115" s="4" t="s">
        <v>418</v>
      </c>
      <c r="E115" s="4" t="s">
        <v>245</v>
      </c>
    </row>
    <row r="116" customFormat="false" ht="31.5" hidden="false" customHeight="true" outlineLevel="0" collapsed="false">
      <c r="A116" s="6" t="s">
        <v>626</v>
      </c>
      <c r="B116" s="6" t="s">
        <v>148</v>
      </c>
      <c r="C116" s="6" t="s">
        <v>627</v>
      </c>
      <c r="D116" s="6" t="s">
        <v>418</v>
      </c>
      <c r="E116" s="6" t="s">
        <v>240</v>
      </c>
    </row>
    <row r="117" customFormat="false" ht="31.5" hidden="false" customHeight="true" outlineLevel="0" collapsed="false">
      <c r="A117" s="4" t="s">
        <v>628</v>
      </c>
      <c r="B117" s="4" t="s">
        <v>148</v>
      </c>
      <c r="C117" s="4" t="s">
        <v>629</v>
      </c>
      <c r="D117" s="4" t="s">
        <v>418</v>
      </c>
      <c r="E117" s="4" t="s">
        <v>245</v>
      </c>
    </row>
    <row r="118" customFormat="false" ht="31.5" hidden="false" customHeight="true" outlineLevel="0" collapsed="false">
      <c r="A118" s="6" t="s">
        <v>630</v>
      </c>
      <c r="B118" s="6" t="s">
        <v>148</v>
      </c>
      <c r="C118" s="6" t="s">
        <v>631</v>
      </c>
      <c r="D118" s="6" t="s">
        <v>418</v>
      </c>
      <c r="E118" s="6" t="s">
        <v>240</v>
      </c>
    </row>
    <row r="119" customFormat="false" ht="31.5" hidden="false" customHeight="true" outlineLevel="0" collapsed="false">
      <c r="A119" s="4" t="s">
        <v>632</v>
      </c>
      <c r="B119" s="4" t="s">
        <v>148</v>
      </c>
      <c r="C119" s="4" t="s">
        <v>633</v>
      </c>
      <c r="D119" s="4" t="s">
        <v>418</v>
      </c>
      <c r="E119" s="4" t="s">
        <v>245</v>
      </c>
    </row>
    <row r="120" customFormat="false" ht="31.5" hidden="false" customHeight="true" outlineLevel="0" collapsed="false">
      <c r="A120" s="6" t="s">
        <v>634</v>
      </c>
      <c r="B120" s="6" t="s">
        <v>148</v>
      </c>
      <c r="C120" s="6" t="s">
        <v>635</v>
      </c>
      <c r="D120" s="6" t="s">
        <v>418</v>
      </c>
      <c r="E120" s="6" t="s">
        <v>240</v>
      </c>
    </row>
    <row r="121" customFormat="false" ht="31.5" hidden="false" customHeight="true" outlineLevel="0" collapsed="false">
      <c r="A121" s="4" t="s">
        <v>636</v>
      </c>
      <c r="B121" s="4" t="s">
        <v>148</v>
      </c>
      <c r="C121" s="4" t="s">
        <v>637</v>
      </c>
      <c r="D121" s="4" t="s">
        <v>418</v>
      </c>
      <c r="E121" s="4" t="s">
        <v>245</v>
      </c>
    </row>
    <row r="122" customFormat="false" ht="31.5" hidden="false" customHeight="true" outlineLevel="0" collapsed="false">
      <c r="A122" s="6" t="s">
        <v>638</v>
      </c>
      <c r="B122" s="6" t="s">
        <v>148</v>
      </c>
      <c r="C122" s="6" t="s">
        <v>639</v>
      </c>
      <c r="D122" s="6" t="s">
        <v>418</v>
      </c>
      <c r="E122" s="6" t="s">
        <v>240</v>
      </c>
    </row>
    <row r="123" customFormat="false" ht="31.5" hidden="false" customHeight="true" outlineLevel="0" collapsed="false">
      <c r="A123" s="4" t="s">
        <v>640</v>
      </c>
      <c r="B123" s="4" t="s">
        <v>82</v>
      </c>
      <c r="C123" s="4" t="s">
        <v>640</v>
      </c>
      <c r="D123" s="4" t="s">
        <v>569</v>
      </c>
      <c r="E123" s="4"/>
    </row>
    <row r="124" customFormat="false" ht="31.5" hidden="false" customHeight="true" outlineLevel="0" collapsed="false">
      <c r="A124" s="6" t="s">
        <v>641</v>
      </c>
      <c r="B124" s="6" t="s">
        <v>82</v>
      </c>
      <c r="C124" s="6" t="s">
        <v>641</v>
      </c>
      <c r="D124" s="6" t="s">
        <v>569</v>
      </c>
      <c r="E124" s="6"/>
    </row>
    <row r="125" customFormat="false" ht="31.5" hidden="false" customHeight="true" outlineLevel="0" collapsed="false">
      <c r="A125" s="4" t="s">
        <v>642</v>
      </c>
      <c r="B125" s="4" t="s">
        <v>82</v>
      </c>
      <c r="C125" s="4" t="s">
        <v>642</v>
      </c>
      <c r="D125" s="4" t="s">
        <v>569</v>
      </c>
      <c r="E125" s="4"/>
    </row>
    <row r="126" customFormat="false" ht="31.5" hidden="false" customHeight="true" outlineLevel="0" collapsed="false">
      <c r="A126" s="6" t="s">
        <v>643</v>
      </c>
      <c r="B126" s="6" t="s">
        <v>82</v>
      </c>
      <c r="C126" s="6" t="s">
        <v>643</v>
      </c>
      <c r="D126" s="6" t="s">
        <v>569</v>
      </c>
      <c r="E126" s="6"/>
    </row>
    <row r="127" customFormat="false" ht="31.5" hidden="false" customHeight="true" outlineLevel="0" collapsed="false">
      <c r="A127" s="4" t="s">
        <v>644</v>
      </c>
      <c r="B127" s="4" t="s">
        <v>137</v>
      </c>
      <c r="C127" s="4" t="s">
        <v>645</v>
      </c>
      <c r="D127" s="4" t="s">
        <v>30</v>
      </c>
      <c r="E127" s="4"/>
    </row>
    <row r="128" customFormat="false" ht="31.5" hidden="false" customHeight="true" outlineLevel="0" collapsed="false">
      <c r="A128" s="6" t="s">
        <v>646</v>
      </c>
      <c r="B128" s="6" t="s">
        <v>148</v>
      </c>
      <c r="C128" s="6" t="s">
        <v>647</v>
      </c>
      <c r="D128" s="6" t="s">
        <v>418</v>
      </c>
      <c r="E128" s="6" t="s">
        <v>239</v>
      </c>
    </row>
    <row r="129" customFormat="false" ht="31.5" hidden="false" customHeight="true" outlineLevel="0" collapsed="false">
      <c r="A129" s="4" t="s">
        <v>648</v>
      </c>
      <c r="B129" s="4" t="s">
        <v>148</v>
      </c>
      <c r="C129" s="4" t="s">
        <v>649</v>
      </c>
      <c r="D129" s="4" t="s">
        <v>418</v>
      </c>
      <c r="E129" s="4" t="s">
        <v>243</v>
      </c>
    </row>
    <row r="130" customFormat="false" ht="31.5" hidden="false" customHeight="true" outlineLevel="0" collapsed="false">
      <c r="A130" s="6" t="s">
        <v>650</v>
      </c>
      <c r="B130" s="6" t="s">
        <v>70</v>
      </c>
      <c r="C130" s="6" t="s">
        <v>651</v>
      </c>
      <c r="D130" s="6" t="s">
        <v>418</v>
      </c>
      <c r="E130" s="6" t="s">
        <v>228</v>
      </c>
    </row>
    <row r="131" customFormat="false" ht="31.5" hidden="false" customHeight="true" outlineLevel="0" collapsed="false">
      <c r="A131" s="4" t="s">
        <v>652</v>
      </c>
      <c r="B131" s="4" t="s">
        <v>148</v>
      </c>
      <c r="C131" s="4" t="s">
        <v>653</v>
      </c>
      <c r="D131" s="4" t="s">
        <v>418</v>
      </c>
      <c r="E131" s="4" t="s">
        <v>239</v>
      </c>
    </row>
    <row r="132" customFormat="false" ht="31.5" hidden="false" customHeight="true" outlineLevel="0" collapsed="false">
      <c r="A132" s="6" t="s">
        <v>654</v>
      </c>
      <c r="B132" s="6" t="s">
        <v>148</v>
      </c>
      <c r="C132" s="6" t="s">
        <v>655</v>
      </c>
      <c r="D132" s="6" t="s">
        <v>418</v>
      </c>
      <c r="E132" s="6" t="s">
        <v>243</v>
      </c>
    </row>
    <row r="133" customFormat="false" ht="31.5" hidden="false" customHeight="true" outlineLevel="0" collapsed="false">
      <c r="A133" s="4" t="s">
        <v>656</v>
      </c>
      <c r="B133" s="4" t="s">
        <v>70</v>
      </c>
      <c r="C133" s="4" t="s">
        <v>657</v>
      </c>
      <c r="D133" s="4" t="s">
        <v>418</v>
      </c>
      <c r="E133" s="4" t="s">
        <v>228</v>
      </c>
    </row>
    <row r="134" customFormat="false" ht="31.5" hidden="false" customHeight="true" outlineLevel="0" collapsed="false">
      <c r="A134" s="6" t="s">
        <v>658</v>
      </c>
      <c r="B134" s="6" t="s">
        <v>148</v>
      </c>
      <c r="C134" s="6" t="s">
        <v>659</v>
      </c>
      <c r="D134" s="6" t="s">
        <v>418</v>
      </c>
      <c r="E134" s="6" t="s">
        <v>239</v>
      </c>
    </row>
    <row r="135" customFormat="false" ht="31.5" hidden="false" customHeight="true" outlineLevel="0" collapsed="false">
      <c r="A135" s="4" t="s">
        <v>660</v>
      </c>
      <c r="B135" s="4" t="s">
        <v>148</v>
      </c>
      <c r="C135" s="4" t="s">
        <v>661</v>
      </c>
      <c r="D135" s="4" t="s">
        <v>418</v>
      </c>
      <c r="E135" s="4" t="s">
        <v>243</v>
      </c>
    </row>
    <row r="136" customFormat="false" ht="31.5" hidden="false" customHeight="true" outlineLevel="0" collapsed="false">
      <c r="A136" s="6" t="s">
        <v>662</v>
      </c>
      <c r="B136" s="6" t="s">
        <v>70</v>
      </c>
      <c r="C136" s="6" t="s">
        <v>663</v>
      </c>
      <c r="D136" s="6" t="s">
        <v>418</v>
      </c>
      <c r="E136" s="6" t="s">
        <v>228</v>
      </c>
    </row>
    <row r="137" customFormat="false" ht="31.5" hidden="false" customHeight="true" outlineLevel="0" collapsed="false">
      <c r="A137" s="4" t="s">
        <v>664</v>
      </c>
      <c r="B137" s="4" t="s">
        <v>148</v>
      </c>
      <c r="C137" s="4" t="s">
        <v>665</v>
      </c>
      <c r="D137" s="4" t="s">
        <v>418</v>
      </c>
      <c r="E137" s="4" t="s">
        <v>239</v>
      </c>
    </row>
    <row r="138" customFormat="false" ht="31.5" hidden="false" customHeight="true" outlineLevel="0" collapsed="false">
      <c r="A138" s="6" t="s">
        <v>666</v>
      </c>
      <c r="B138" s="6" t="s">
        <v>148</v>
      </c>
      <c r="C138" s="6" t="s">
        <v>667</v>
      </c>
      <c r="D138" s="6" t="s">
        <v>418</v>
      </c>
      <c r="E138" s="6" t="s">
        <v>243</v>
      </c>
    </row>
    <row r="139" customFormat="false" ht="31.5" hidden="false" customHeight="true" outlineLevel="0" collapsed="false">
      <c r="A139" s="4" t="s">
        <v>668</v>
      </c>
      <c r="B139" s="4" t="s">
        <v>70</v>
      </c>
      <c r="C139" s="4" t="s">
        <v>669</v>
      </c>
      <c r="D139" s="4" t="s">
        <v>418</v>
      </c>
      <c r="E139" s="4" t="s">
        <v>228</v>
      </c>
    </row>
    <row r="140" customFormat="false" ht="31.5" hidden="false" customHeight="true" outlineLevel="0" collapsed="false">
      <c r="A140" s="6" t="s">
        <v>670</v>
      </c>
      <c r="B140" s="6" t="s">
        <v>137</v>
      </c>
      <c r="C140" s="6" t="s">
        <v>671</v>
      </c>
      <c r="D140" s="6" t="s">
        <v>30</v>
      </c>
      <c r="E140" s="6"/>
    </row>
    <row r="141" customFormat="false" ht="31.5" hidden="false" customHeight="true" outlineLevel="0" collapsed="false">
      <c r="A141" s="4" t="s">
        <v>672</v>
      </c>
      <c r="B141" s="4" t="s">
        <v>148</v>
      </c>
      <c r="C141" s="4" t="s">
        <v>673</v>
      </c>
      <c r="D141" s="4" t="s">
        <v>418</v>
      </c>
      <c r="E141" s="4" t="s">
        <v>239</v>
      </c>
    </row>
    <row r="142" customFormat="false" ht="31.5" hidden="false" customHeight="true" outlineLevel="0" collapsed="false">
      <c r="A142" s="6" t="s">
        <v>674</v>
      </c>
      <c r="B142" s="6" t="s">
        <v>148</v>
      </c>
      <c r="C142" s="6" t="s">
        <v>675</v>
      </c>
      <c r="D142" s="6" t="s">
        <v>418</v>
      </c>
      <c r="E142" s="6" t="s">
        <v>242</v>
      </c>
    </row>
    <row r="143" customFormat="false" ht="31.5" hidden="false" customHeight="true" outlineLevel="0" collapsed="false">
      <c r="A143" s="4" t="s">
        <v>676</v>
      </c>
      <c r="B143" s="4" t="s">
        <v>70</v>
      </c>
      <c r="C143" s="4" t="s">
        <v>677</v>
      </c>
      <c r="D143" s="4" t="s">
        <v>418</v>
      </c>
      <c r="E143" s="4" t="s">
        <v>228</v>
      </c>
    </row>
    <row r="144" customFormat="false" ht="31.5" hidden="false" customHeight="true" outlineLevel="0" collapsed="false">
      <c r="A144" s="6" t="s">
        <v>678</v>
      </c>
      <c r="B144" s="6" t="s">
        <v>148</v>
      </c>
      <c r="C144" s="6" t="s">
        <v>679</v>
      </c>
      <c r="D144" s="6" t="s">
        <v>418</v>
      </c>
      <c r="E144" s="6" t="s">
        <v>239</v>
      </c>
    </row>
    <row r="145" customFormat="false" ht="31.5" hidden="false" customHeight="true" outlineLevel="0" collapsed="false">
      <c r="A145" s="4" t="s">
        <v>680</v>
      </c>
      <c r="B145" s="4" t="s">
        <v>148</v>
      </c>
      <c r="C145" s="4" t="s">
        <v>681</v>
      </c>
      <c r="D145" s="4" t="s">
        <v>418</v>
      </c>
      <c r="E145" s="4" t="s">
        <v>242</v>
      </c>
    </row>
    <row r="146" customFormat="false" ht="31.5" hidden="false" customHeight="true" outlineLevel="0" collapsed="false">
      <c r="A146" s="6" t="s">
        <v>682</v>
      </c>
      <c r="B146" s="6" t="s">
        <v>70</v>
      </c>
      <c r="C146" s="6" t="s">
        <v>683</v>
      </c>
      <c r="D146" s="6" t="s">
        <v>418</v>
      </c>
      <c r="E146" s="6" t="s">
        <v>228</v>
      </c>
    </row>
    <row r="147" customFormat="false" ht="31.5" hidden="false" customHeight="true" outlineLevel="0" collapsed="false">
      <c r="A147" s="4" t="s">
        <v>684</v>
      </c>
      <c r="B147" s="4" t="s">
        <v>148</v>
      </c>
      <c r="C147" s="4" t="s">
        <v>685</v>
      </c>
      <c r="D147" s="4" t="s">
        <v>418</v>
      </c>
      <c r="E147" s="4" t="s">
        <v>239</v>
      </c>
    </row>
    <row r="148" customFormat="false" ht="31.5" hidden="false" customHeight="true" outlineLevel="0" collapsed="false">
      <c r="A148" s="6" t="s">
        <v>686</v>
      </c>
      <c r="B148" s="6" t="s">
        <v>148</v>
      </c>
      <c r="C148" s="6" t="s">
        <v>687</v>
      </c>
      <c r="D148" s="6" t="s">
        <v>418</v>
      </c>
      <c r="E148" s="6" t="s">
        <v>242</v>
      </c>
    </row>
    <row r="149" customFormat="false" ht="31.5" hidden="false" customHeight="true" outlineLevel="0" collapsed="false">
      <c r="A149" s="4" t="s">
        <v>688</v>
      </c>
      <c r="B149" s="4" t="s">
        <v>70</v>
      </c>
      <c r="C149" s="4" t="s">
        <v>689</v>
      </c>
      <c r="D149" s="4" t="s">
        <v>418</v>
      </c>
      <c r="E149" s="4" t="s">
        <v>228</v>
      </c>
    </row>
    <row r="150" customFormat="false" ht="31.5" hidden="false" customHeight="true" outlineLevel="0" collapsed="false">
      <c r="A150" s="6" t="s">
        <v>690</v>
      </c>
      <c r="B150" s="6" t="s">
        <v>148</v>
      </c>
      <c r="C150" s="6" t="s">
        <v>691</v>
      </c>
      <c r="D150" s="6" t="s">
        <v>418</v>
      </c>
      <c r="E150" s="6" t="s">
        <v>239</v>
      </c>
    </row>
    <row r="151" customFormat="false" ht="31.5" hidden="false" customHeight="true" outlineLevel="0" collapsed="false">
      <c r="A151" s="4" t="s">
        <v>692</v>
      </c>
      <c r="B151" s="4" t="s">
        <v>148</v>
      </c>
      <c r="C151" s="4" t="s">
        <v>693</v>
      </c>
      <c r="D151" s="4" t="s">
        <v>418</v>
      </c>
      <c r="E151" s="4" t="s">
        <v>242</v>
      </c>
    </row>
    <row r="152" customFormat="false" ht="31.5" hidden="false" customHeight="true" outlineLevel="0" collapsed="false">
      <c r="A152" s="6" t="s">
        <v>694</v>
      </c>
      <c r="B152" s="6" t="s">
        <v>70</v>
      </c>
      <c r="C152" s="6" t="s">
        <v>695</v>
      </c>
      <c r="D152" s="6" t="s">
        <v>418</v>
      </c>
      <c r="E152" s="6" t="s">
        <v>228</v>
      </c>
    </row>
    <row r="153" customFormat="false" ht="31.5" hidden="false" customHeight="true" outlineLevel="0" collapsed="false">
      <c r="A153" s="4" t="s">
        <v>696</v>
      </c>
      <c r="B153" s="4" t="s">
        <v>137</v>
      </c>
      <c r="C153" s="4" t="s">
        <v>697</v>
      </c>
      <c r="D153" s="4" t="s">
        <v>30</v>
      </c>
      <c r="E153" s="4"/>
    </row>
    <row r="154" customFormat="false" ht="31.5" hidden="false" customHeight="true" outlineLevel="0" collapsed="false">
      <c r="A154" s="6" t="s">
        <v>698</v>
      </c>
      <c r="B154" s="6" t="s">
        <v>148</v>
      </c>
      <c r="C154" s="6" t="s">
        <v>699</v>
      </c>
      <c r="D154" s="6" t="s">
        <v>418</v>
      </c>
      <c r="E154" s="6" t="s">
        <v>239</v>
      </c>
    </row>
    <row r="155" customFormat="false" ht="31.5" hidden="false" customHeight="true" outlineLevel="0" collapsed="false">
      <c r="A155" s="4" t="s">
        <v>700</v>
      </c>
      <c r="B155" s="4" t="s">
        <v>148</v>
      </c>
      <c r="C155" s="4" t="s">
        <v>701</v>
      </c>
      <c r="D155" s="4" t="s">
        <v>418</v>
      </c>
      <c r="E155" s="4" t="s">
        <v>242</v>
      </c>
    </row>
    <row r="156" customFormat="false" ht="31.5" hidden="false" customHeight="true" outlineLevel="0" collapsed="false">
      <c r="A156" s="6" t="s">
        <v>702</v>
      </c>
      <c r="B156" s="6" t="s">
        <v>70</v>
      </c>
      <c r="C156" s="6" t="s">
        <v>703</v>
      </c>
      <c r="D156" s="6" t="s">
        <v>418</v>
      </c>
      <c r="E156" s="6" t="s">
        <v>228</v>
      </c>
    </row>
    <row r="157" customFormat="false" ht="31.5" hidden="false" customHeight="true" outlineLevel="0" collapsed="false">
      <c r="A157" s="4" t="s">
        <v>704</v>
      </c>
      <c r="B157" s="4" t="s">
        <v>148</v>
      </c>
      <c r="C157" s="4" t="s">
        <v>705</v>
      </c>
      <c r="D157" s="4" t="s">
        <v>418</v>
      </c>
      <c r="E157" s="4" t="s">
        <v>239</v>
      </c>
    </row>
    <row r="158" customFormat="false" ht="31.5" hidden="false" customHeight="true" outlineLevel="0" collapsed="false">
      <c r="A158" s="6" t="s">
        <v>706</v>
      </c>
      <c r="B158" s="6" t="s">
        <v>148</v>
      </c>
      <c r="C158" s="6" t="s">
        <v>707</v>
      </c>
      <c r="D158" s="6" t="s">
        <v>418</v>
      </c>
      <c r="E158" s="6" t="s">
        <v>242</v>
      </c>
    </row>
    <row r="159" customFormat="false" ht="31.5" hidden="false" customHeight="true" outlineLevel="0" collapsed="false">
      <c r="A159" s="4" t="s">
        <v>708</v>
      </c>
      <c r="B159" s="4" t="s">
        <v>70</v>
      </c>
      <c r="C159" s="4" t="s">
        <v>709</v>
      </c>
      <c r="D159" s="4" t="s">
        <v>418</v>
      </c>
      <c r="E159" s="4" t="s">
        <v>228</v>
      </c>
    </row>
    <row r="160" customFormat="false" ht="31.5" hidden="false" customHeight="true" outlineLevel="0" collapsed="false">
      <c r="A160" s="6" t="s">
        <v>710</v>
      </c>
      <c r="B160" s="6" t="s">
        <v>148</v>
      </c>
      <c r="C160" s="6" t="s">
        <v>711</v>
      </c>
      <c r="D160" s="6" t="s">
        <v>418</v>
      </c>
      <c r="E160" s="6" t="s">
        <v>239</v>
      </c>
    </row>
    <row r="161" customFormat="false" ht="31.5" hidden="false" customHeight="true" outlineLevel="0" collapsed="false">
      <c r="A161" s="4" t="s">
        <v>712</v>
      </c>
      <c r="B161" s="4" t="s">
        <v>148</v>
      </c>
      <c r="C161" s="4" t="s">
        <v>713</v>
      </c>
      <c r="D161" s="4" t="s">
        <v>418</v>
      </c>
      <c r="E161" s="4" t="s">
        <v>242</v>
      </c>
    </row>
    <row r="162" customFormat="false" ht="31.5" hidden="false" customHeight="true" outlineLevel="0" collapsed="false">
      <c r="A162" s="6" t="s">
        <v>714</v>
      </c>
      <c r="B162" s="6" t="s">
        <v>70</v>
      </c>
      <c r="C162" s="6" t="s">
        <v>715</v>
      </c>
      <c r="D162" s="6" t="s">
        <v>418</v>
      </c>
      <c r="E162" s="6" t="s">
        <v>228</v>
      </c>
    </row>
    <row r="163" customFormat="false" ht="31.5" hidden="false" customHeight="true" outlineLevel="0" collapsed="false">
      <c r="A163" s="4" t="s">
        <v>716</v>
      </c>
      <c r="B163" s="4" t="s">
        <v>148</v>
      </c>
      <c r="C163" s="4" t="s">
        <v>717</v>
      </c>
      <c r="D163" s="4" t="s">
        <v>418</v>
      </c>
      <c r="E163" s="4" t="s">
        <v>239</v>
      </c>
    </row>
    <row r="164" customFormat="false" ht="31.5" hidden="false" customHeight="true" outlineLevel="0" collapsed="false">
      <c r="A164" s="6" t="s">
        <v>718</v>
      </c>
      <c r="B164" s="6" t="s">
        <v>148</v>
      </c>
      <c r="C164" s="6" t="s">
        <v>719</v>
      </c>
      <c r="D164" s="6" t="s">
        <v>418</v>
      </c>
      <c r="E164" s="6" t="s">
        <v>242</v>
      </c>
    </row>
    <row r="165" customFormat="false" ht="31.5" hidden="false" customHeight="true" outlineLevel="0" collapsed="false">
      <c r="A165" s="4" t="s">
        <v>720</v>
      </c>
      <c r="B165" s="4" t="s">
        <v>70</v>
      </c>
      <c r="C165" s="4" t="s">
        <v>721</v>
      </c>
      <c r="D165" s="4" t="s">
        <v>418</v>
      </c>
      <c r="E165" s="4" t="s">
        <v>228</v>
      </c>
    </row>
    <row r="166" customFormat="false" ht="31.5" hidden="false" customHeight="true" outlineLevel="0" collapsed="false">
      <c r="A166" s="6" t="s">
        <v>722</v>
      </c>
      <c r="B166" s="6" t="s">
        <v>151</v>
      </c>
      <c r="C166" s="6" t="s">
        <v>723</v>
      </c>
      <c r="D166" s="6" t="s">
        <v>418</v>
      </c>
      <c r="E166" s="6" t="s">
        <v>226</v>
      </c>
    </row>
    <row r="167" customFormat="false" ht="31.5" hidden="false" customHeight="true" outlineLevel="0" collapsed="false">
      <c r="A167" s="4" t="s">
        <v>724</v>
      </c>
      <c r="B167" s="4" t="s">
        <v>151</v>
      </c>
      <c r="C167" s="4" t="s">
        <v>725</v>
      </c>
      <c r="D167" s="4" t="s">
        <v>418</v>
      </c>
      <c r="E167" s="4" t="s">
        <v>226</v>
      </c>
    </row>
    <row r="168" customFormat="false" ht="31.5" hidden="false" customHeight="true" outlineLevel="0" collapsed="false">
      <c r="A168" s="6" t="s">
        <v>726</v>
      </c>
      <c r="B168" s="6" t="s">
        <v>151</v>
      </c>
      <c r="C168" s="6" t="s">
        <v>727</v>
      </c>
      <c r="D168" s="6" t="s">
        <v>418</v>
      </c>
      <c r="E168" s="6" t="s">
        <v>226</v>
      </c>
    </row>
    <row r="169" customFormat="false" ht="31.5" hidden="false" customHeight="true" outlineLevel="0" collapsed="false">
      <c r="A169" s="4" t="s">
        <v>728</v>
      </c>
      <c r="B169" s="4" t="s">
        <v>151</v>
      </c>
      <c r="C169" s="4" t="s">
        <v>729</v>
      </c>
      <c r="D169" s="4" t="s">
        <v>418</v>
      </c>
      <c r="E169" s="4" t="s">
        <v>226</v>
      </c>
    </row>
    <row r="170" customFormat="false" ht="31.5" hidden="false" customHeight="true" outlineLevel="0" collapsed="false">
      <c r="A170" s="6" t="s">
        <v>730</v>
      </c>
      <c r="B170" s="6" t="s">
        <v>151</v>
      </c>
      <c r="C170" s="6" t="s">
        <v>731</v>
      </c>
      <c r="D170" s="6" t="s">
        <v>418</v>
      </c>
      <c r="E170" s="6" t="s">
        <v>226</v>
      </c>
    </row>
    <row r="171" customFormat="false" ht="31.5" hidden="false" customHeight="true" outlineLevel="0" collapsed="false">
      <c r="A171" s="4" t="s">
        <v>732</v>
      </c>
      <c r="B171" s="4" t="s">
        <v>151</v>
      </c>
      <c r="C171" s="4" t="s">
        <v>733</v>
      </c>
      <c r="D171" s="4" t="s">
        <v>418</v>
      </c>
      <c r="E171" s="4" t="s">
        <v>226</v>
      </c>
    </row>
    <row r="172" customFormat="false" ht="31.5" hidden="false" customHeight="true" outlineLevel="0" collapsed="false">
      <c r="A172" s="6" t="s">
        <v>734</v>
      </c>
      <c r="B172" s="6" t="s">
        <v>111</v>
      </c>
      <c r="C172" s="6" t="s">
        <v>735</v>
      </c>
      <c r="D172" s="6" t="s">
        <v>403</v>
      </c>
      <c r="E172" s="6"/>
    </row>
    <row r="173" customFormat="false" ht="31.5" hidden="false" customHeight="true" outlineLevel="0" collapsed="false">
      <c r="A173" s="4" t="s">
        <v>736</v>
      </c>
      <c r="B173" s="4" t="s">
        <v>116</v>
      </c>
      <c r="C173" s="4" t="s">
        <v>737</v>
      </c>
      <c r="D173" s="4" t="s">
        <v>403</v>
      </c>
      <c r="E173" s="4"/>
    </row>
    <row r="174" customFormat="false" ht="31.5" hidden="false" customHeight="true" outlineLevel="0" collapsed="false">
      <c r="A174" s="6" t="s">
        <v>738</v>
      </c>
      <c r="B174" s="6" t="s">
        <v>116</v>
      </c>
      <c r="C174" s="6" t="s">
        <v>739</v>
      </c>
      <c r="D174" s="6" t="s">
        <v>403</v>
      </c>
      <c r="E174" s="6"/>
    </row>
    <row r="175" customFormat="false" ht="31.5" hidden="false" customHeight="true" outlineLevel="0" collapsed="false">
      <c r="A175" s="4" t="s">
        <v>740</v>
      </c>
      <c r="B175" s="4" t="s">
        <v>116</v>
      </c>
      <c r="C175" s="4" t="s">
        <v>741</v>
      </c>
      <c r="D175" s="4" t="s">
        <v>403</v>
      </c>
      <c r="E175" s="4"/>
    </row>
    <row r="176" customFormat="false" ht="31.5" hidden="false" customHeight="true" outlineLevel="0" collapsed="false">
      <c r="A176" s="6" t="s">
        <v>742</v>
      </c>
      <c r="B176" s="6" t="s">
        <v>116</v>
      </c>
      <c r="C176" s="6" t="s">
        <v>743</v>
      </c>
      <c r="D176" s="6" t="s">
        <v>403</v>
      </c>
      <c r="E176" s="6"/>
    </row>
    <row r="177" customFormat="false" ht="31.5" hidden="false" customHeight="true" outlineLevel="0" collapsed="false">
      <c r="A177" s="4" t="s">
        <v>744</v>
      </c>
      <c r="B177" s="4" t="s">
        <v>116</v>
      </c>
      <c r="C177" s="4" t="s">
        <v>745</v>
      </c>
      <c r="D177" s="4" t="s">
        <v>403</v>
      </c>
      <c r="E177" s="4"/>
    </row>
    <row r="178" customFormat="false" ht="31.5" hidden="false" customHeight="true" outlineLevel="0" collapsed="false">
      <c r="A178" s="6" t="s">
        <v>746</v>
      </c>
      <c r="B178" s="6" t="s">
        <v>116</v>
      </c>
      <c r="C178" s="6" t="s">
        <v>747</v>
      </c>
      <c r="D178" s="6" t="s">
        <v>403</v>
      </c>
      <c r="E178" s="6"/>
    </row>
    <row r="179" customFormat="false" ht="31.5" hidden="false" customHeight="true" outlineLevel="0" collapsed="false">
      <c r="A179" s="4" t="s">
        <v>748</v>
      </c>
      <c r="B179" s="4" t="s">
        <v>126</v>
      </c>
      <c r="C179" s="4" t="s">
        <v>748</v>
      </c>
      <c r="D179" s="4" t="s">
        <v>418</v>
      </c>
      <c r="E179" s="4" t="s">
        <v>237</v>
      </c>
    </row>
    <row r="180" customFormat="false" ht="31.5" hidden="false" customHeight="true" outlineLevel="0" collapsed="false">
      <c r="A180" s="6" t="s">
        <v>749</v>
      </c>
      <c r="B180" s="6" t="s">
        <v>126</v>
      </c>
      <c r="C180" s="6" t="s">
        <v>749</v>
      </c>
      <c r="D180" s="6" t="s">
        <v>418</v>
      </c>
      <c r="E180" s="6" t="s">
        <v>237</v>
      </c>
    </row>
    <row r="181" customFormat="false" ht="31.5" hidden="false" customHeight="true" outlineLevel="0" collapsed="false">
      <c r="A181" s="4" t="s">
        <v>750</v>
      </c>
      <c r="B181" s="4" t="s">
        <v>126</v>
      </c>
      <c r="C181" s="4" t="s">
        <v>750</v>
      </c>
      <c r="D181" s="4" t="s">
        <v>418</v>
      </c>
      <c r="E181" s="4" t="s">
        <v>246</v>
      </c>
    </row>
    <row r="182" customFormat="false" ht="31.5" hidden="false" customHeight="true" outlineLevel="0" collapsed="false">
      <c r="A182" s="6" t="s">
        <v>751</v>
      </c>
      <c r="B182" s="6" t="s">
        <v>126</v>
      </c>
      <c r="C182" s="6" t="s">
        <v>751</v>
      </c>
      <c r="D182" s="6" t="s">
        <v>418</v>
      </c>
      <c r="E182" s="6" t="s">
        <v>228</v>
      </c>
    </row>
    <row r="183" customFormat="false" ht="31.5" hidden="false" customHeight="true" outlineLevel="0" collapsed="false">
      <c r="A183" s="4" t="s">
        <v>752</v>
      </c>
      <c r="B183" s="4" t="s">
        <v>126</v>
      </c>
      <c r="C183" s="4" t="s">
        <v>752</v>
      </c>
      <c r="D183" s="4" t="s">
        <v>418</v>
      </c>
      <c r="E183" s="4" t="s">
        <v>237</v>
      </c>
    </row>
    <row r="184" customFormat="false" ht="31.5" hidden="false" customHeight="true" outlineLevel="0" collapsed="false">
      <c r="A184" s="6" t="s">
        <v>753</v>
      </c>
      <c r="B184" s="6" t="s">
        <v>126</v>
      </c>
      <c r="C184" s="6" t="s">
        <v>753</v>
      </c>
      <c r="D184" s="6" t="s">
        <v>418</v>
      </c>
      <c r="E184" s="6" t="s">
        <v>237</v>
      </c>
    </row>
    <row r="185" customFormat="false" ht="31.5" hidden="false" customHeight="true" outlineLevel="0" collapsed="false">
      <c r="A185" s="4" t="s">
        <v>754</v>
      </c>
      <c r="B185" s="4" t="s">
        <v>126</v>
      </c>
      <c r="C185" s="4" t="s">
        <v>754</v>
      </c>
      <c r="D185" s="4" t="s">
        <v>418</v>
      </c>
      <c r="E185" s="4" t="s">
        <v>246</v>
      </c>
    </row>
    <row r="186" customFormat="false" ht="31.5" hidden="false" customHeight="true" outlineLevel="0" collapsed="false">
      <c r="A186" s="6" t="s">
        <v>755</v>
      </c>
      <c r="B186" s="6" t="s">
        <v>126</v>
      </c>
      <c r="C186" s="6" t="s">
        <v>755</v>
      </c>
      <c r="D186" s="6" t="s">
        <v>418</v>
      </c>
      <c r="E186" s="6" t="s">
        <v>228</v>
      </c>
    </row>
    <row r="187" customFormat="false" ht="31.5" hidden="false" customHeight="true" outlineLevel="0" collapsed="false">
      <c r="A187" s="4" t="s">
        <v>756</v>
      </c>
      <c r="B187" s="4" t="s">
        <v>126</v>
      </c>
      <c r="C187" s="4" t="s">
        <v>756</v>
      </c>
      <c r="D187" s="4" t="s">
        <v>418</v>
      </c>
      <c r="E187" s="4" t="s">
        <v>237</v>
      </c>
    </row>
    <row r="188" customFormat="false" ht="31.5" hidden="false" customHeight="true" outlineLevel="0" collapsed="false">
      <c r="A188" s="6" t="s">
        <v>757</v>
      </c>
      <c r="B188" s="6" t="s">
        <v>126</v>
      </c>
      <c r="C188" s="6" t="s">
        <v>757</v>
      </c>
      <c r="D188" s="6" t="s">
        <v>418</v>
      </c>
      <c r="E188" s="6" t="s">
        <v>237</v>
      </c>
    </row>
    <row r="189" customFormat="false" ht="31.5" hidden="false" customHeight="true" outlineLevel="0" collapsed="false">
      <c r="A189" s="4" t="s">
        <v>758</v>
      </c>
      <c r="B189" s="4" t="s">
        <v>126</v>
      </c>
      <c r="C189" s="4" t="s">
        <v>758</v>
      </c>
      <c r="D189" s="4" t="s">
        <v>418</v>
      </c>
      <c r="E189" s="4" t="s">
        <v>246</v>
      </c>
    </row>
    <row r="190" customFormat="false" ht="31.5" hidden="false" customHeight="true" outlineLevel="0" collapsed="false">
      <c r="A190" s="6" t="s">
        <v>759</v>
      </c>
      <c r="B190" s="6" t="s">
        <v>126</v>
      </c>
      <c r="C190" s="6" t="s">
        <v>759</v>
      </c>
      <c r="D190" s="6" t="s">
        <v>418</v>
      </c>
      <c r="E190" s="6" t="s">
        <v>228</v>
      </c>
    </row>
    <row r="191" customFormat="false" ht="31.5" hidden="false" customHeight="true" outlineLevel="0" collapsed="false">
      <c r="A191" s="4" t="s">
        <v>760</v>
      </c>
      <c r="B191" s="4" t="s">
        <v>126</v>
      </c>
      <c r="C191" s="4" t="s">
        <v>760</v>
      </c>
      <c r="D191" s="4" t="s">
        <v>418</v>
      </c>
      <c r="E191" s="4" t="s">
        <v>237</v>
      </c>
    </row>
    <row r="192" customFormat="false" ht="31.5" hidden="false" customHeight="true" outlineLevel="0" collapsed="false">
      <c r="A192" s="6" t="s">
        <v>761</v>
      </c>
      <c r="B192" s="6" t="s">
        <v>126</v>
      </c>
      <c r="C192" s="6" t="s">
        <v>761</v>
      </c>
      <c r="D192" s="6" t="s">
        <v>418</v>
      </c>
      <c r="E192" s="6" t="s">
        <v>237</v>
      </c>
    </row>
    <row r="193" customFormat="false" ht="31.5" hidden="false" customHeight="true" outlineLevel="0" collapsed="false">
      <c r="A193" s="4" t="s">
        <v>762</v>
      </c>
      <c r="B193" s="4" t="s">
        <v>126</v>
      </c>
      <c r="C193" s="4" t="s">
        <v>762</v>
      </c>
      <c r="D193" s="4" t="s">
        <v>418</v>
      </c>
      <c r="E193" s="4" t="s">
        <v>246</v>
      </c>
    </row>
    <row r="194" customFormat="false" ht="31.5" hidden="false" customHeight="true" outlineLevel="0" collapsed="false">
      <c r="A194" s="6" t="s">
        <v>763</v>
      </c>
      <c r="B194" s="6" t="s">
        <v>126</v>
      </c>
      <c r="C194" s="6" t="s">
        <v>763</v>
      </c>
      <c r="D194" s="6" t="s">
        <v>418</v>
      </c>
      <c r="E194" s="6" t="s">
        <v>228</v>
      </c>
    </row>
    <row r="195" customFormat="false" ht="31.5" hidden="false" customHeight="true" outlineLevel="0" collapsed="false">
      <c r="A195" s="4" t="s">
        <v>764</v>
      </c>
      <c r="B195" s="4" t="s">
        <v>126</v>
      </c>
      <c r="C195" s="4" t="s">
        <v>764</v>
      </c>
      <c r="D195" s="4" t="s">
        <v>418</v>
      </c>
      <c r="E195" s="4" t="s">
        <v>237</v>
      </c>
    </row>
    <row r="196" customFormat="false" ht="31.5" hidden="false" customHeight="true" outlineLevel="0" collapsed="false">
      <c r="A196" s="6" t="s">
        <v>765</v>
      </c>
      <c r="B196" s="6" t="s">
        <v>126</v>
      </c>
      <c r="C196" s="6" t="s">
        <v>765</v>
      </c>
      <c r="D196" s="6" t="s">
        <v>418</v>
      </c>
      <c r="E196" s="6" t="s">
        <v>237</v>
      </c>
    </row>
    <row r="197" customFormat="false" ht="31.5" hidden="false" customHeight="true" outlineLevel="0" collapsed="false">
      <c r="A197" s="4" t="s">
        <v>766</v>
      </c>
      <c r="B197" s="4" t="s">
        <v>126</v>
      </c>
      <c r="C197" s="4" t="s">
        <v>766</v>
      </c>
      <c r="D197" s="4" t="s">
        <v>418</v>
      </c>
      <c r="E197" s="4" t="s">
        <v>246</v>
      </c>
    </row>
    <row r="198" customFormat="false" ht="31.5" hidden="false" customHeight="true" outlineLevel="0" collapsed="false">
      <c r="A198" s="6" t="s">
        <v>767</v>
      </c>
      <c r="B198" s="6" t="s">
        <v>126</v>
      </c>
      <c r="C198" s="6" t="s">
        <v>767</v>
      </c>
      <c r="D198" s="6" t="s">
        <v>418</v>
      </c>
      <c r="E198" s="6" t="s">
        <v>228</v>
      </c>
    </row>
    <row r="199" customFormat="false" ht="31.5" hidden="false" customHeight="true" outlineLevel="0" collapsed="false">
      <c r="A199" s="4" t="s">
        <v>768</v>
      </c>
      <c r="B199" s="4" t="s">
        <v>126</v>
      </c>
      <c r="C199" s="4" t="s">
        <v>768</v>
      </c>
      <c r="D199" s="4" t="s">
        <v>418</v>
      </c>
      <c r="E199" s="4" t="s">
        <v>237</v>
      </c>
    </row>
    <row r="200" customFormat="false" ht="31.5" hidden="false" customHeight="true" outlineLevel="0" collapsed="false">
      <c r="A200" s="6" t="s">
        <v>769</v>
      </c>
      <c r="B200" s="6" t="s">
        <v>126</v>
      </c>
      <c r="C200" s="6" t="s">
        <v>769</v>
      </c>
      <c r="D200" s="6" t="s">
        <v>418</v>
      </c>
      <c r="E200" s="6" t="s">
        <v>237</v>
      </c>
    </row>
    <row r="201" customFormat="false" ht="31.5" hidden="false" customHeight="true" outlineLevel="0" collapsed="false">
      <c r="A201" s="4" t="s">
        <v>770</v>
      </c>
      <c r="B201" s="4" t="s">
        <v>126</v>
      </c>
      <c r="C201" s="4" t="s">
        <v>770</v>
      </c>
      <c r="D201" s="4" t="s">
        <v>418</v>
      </c>
      <c r="E201" s="4" t="s">
        <v>246</v>
      </c>
    </row>
    <row r="202" customFormat="false" ht="31.5" hidden="false" customHeight="true" outlineLevel="0" collapsed="false">
      <c r="A202" s="6" t="s">
        <v>771</v>
      </c>
      <c r="B202" s="6" t="s">
        <v>126</v>
      </c>
      <c r="C202" s="6" t="s">
        <v>771</v>
      </c>
      <c r="D202" s="6" t="s">
        <v>418</v>
      </c>
      <c r="E202" s="6" t="s">
        <v>228</v>
      </c>
    </row>
    <row r="203" customFormat="false" ht="31.5" hidden="false" customHeight="true" outlineLevel="0" collapsed="false">
      <c r="A203" s="4" t="s">
        <v>772</v>
      </c>
      <c r="B203" s="4" t="s">
        <v>126</v>
      </c>
      <c r="C203" s="4" t="s">
        <v>772</v>
      </c>
      <c r="D203" s="4" t="s">
        <v>418</v>
      </c>
      <c r="E203" s="4" t="s">
        <v>236</v>
      </c>
    </row>
    <row r="204" customFormat="false" ht="31.5" hidden="false" customHeight="true" outlineLevel="0" collapsed="false">
      <c r="A204" s="6" t="s">
        <v>773</v>
      </c>
      <c r="B204" s="6" t="s">
        <v>126</v>
      </c>
      <c r="C204" s="6" t="s">
        <v>773</v>
      </c>
      <c r="D204" s="6" t="s">
        <v>418</v>
      </c>
      <c r="E204" s="6" t="s">
        <v>235</v>
      </c>
    </row>
    <row r="205" customFormat="false" ht="31.5" hidden="false" customHeight="true" outlineLevel="0" collapsed="false">
      <c r="A205" s="4" t="s">
        <v>774</v>
      </c>
      <c r="B205" s="4" t="s">
        <v>126</v>
      </c>
      <c r="C205" s="4" t="s">
        <v>774</v>
      </c>
      <c r="D205" s="4" t="s">
        <v>418</v>
      </c>
      <c r="E205" s="4" t="s">
        <v>233</v>
      </c>
    </row>
    <row r="206" customFormat="false" ht="31.5" hidden="false" customHeight="true" outlineLevel="0" collapsed="false">
      <c r="A206" s="6" t="s">
        <v>775</v>
      </c>
      <c r="B206" s="6" t="s">
        <v>126</v>
      </c>
      <c r="C206" s="6" t="s">
        <v>775</v>
      </c>
      <c r="D206" s="6" t="s">
        <v>418</v>
      </c>
      <c r="E206" s="6" t="s">
        <v>236</v>
      </c>
    </row>
    <row r="207" customFormat="false" ht="31.5" hidden="false" customHeight="true" outlineLevel="0" collapsed="false">
      <c r="A207" s="4" t="s">
        <v>776</v>
      </c>
      <c r="B207" s="4" t="s">
        <v>126</v>
      </c>
      <c r="C207" s="4" t="s">
        <v>776</v>
      </c>
      <c r="D207" s="4" t="s">
        <v>418</v>
      </c>
      <c r="E207" s="4" t="s">
        <v>235</v>
      </c>
    </row>
    <row r="208" customFormat="false" ht="31.5" hidden="false" customHeight="true" outlineLevel="0" collapsed="false">
      <c r="A208" s="6" t="s">
        <v>777</v>
      </c>
      <c r="B208" s="6" t="s">
        <v>126</v>
      </c>
      <c r="C208" s="6" t="s">
        <v>777</v>
      </c>
      <c r="D208" s="6" t="s">
        <v>418</v>
      </c>
      <c r="E208" s="6" t="s">
        <v>233</v>
      </c>
    </row>
    <row r="209" customFormat="false" ht="31.5" hidden="false" customHeight="true" outlineLevel="0" collapsed="false">
      <c r="A209" s="4" t="s">
        <v>778</v>
      </c>
      <c r="B209" s="4" t="s">
        <v>126</v>
      </c>
      <c r="C209" s="4" t="s">
        <v>778</v>
      </c>
      <c r="D209" s="4" t="s">
        <v>418</v>
      </c>
      <c r="E209" s="4" t="s">
        <v>236</v>
      </c>
    </row>
    <row r="210" customFormat="false" ht="31.5" hidden="false" customHeight="true" outlineLevel="0" collapsed="false">
      <c r="A210" s="6" t="s">
        <v>779</v>
      </c>
      <c r="B210" s="6" t="s">
        <v>126</v>
      </c>
      <c r="C210" s="6" t="s">
        <v>779</v>
      </c>
      <c r="D210" s="6" t="s">
        <v>418</v>
      </c>
      <c r="E210" s="6" t="s">
        <v>235</v>
      </c>
    </row>
    <row r="211" customFormat="false" ht="31.5" hidden="false" customHeight="true" outlineLevel="0" collapsed="false">
      <c r="A211" s="4" t="s">
        <v>780</v>
      </c>
      <c r="B211" s="4" t="s">
        <v>126</v>
      </c>
      <c r="C211" s="4" t="s">
        <v>780</v>
      </c>
      <c r="D211" s="4" t="s">
        <v>418</v>
      </c>
      <c r="E211" s="4" t="s">
        <v>233</v>
      </c>
    </row>
    <row r="212" customFormat="false" ht="31.5" hidden="false" customHeight="true" outlineLevel="0" collapsed="false">
      <c r="A212" s="6" t="s">
        <v>781</v>
      </c>
      <c r="B212" s="6" t="s">
        <v>126</v>
      </c>
      <c r="C212" s="6" t="s">
        <v>781</v>
      </c>
      <c r="D212" s="6" t="s">
        <v>418</v>
      </c>
      <c r="E212" s="6" t="s">
        <v>236</v>
      </c>
    </row>
    <row r="213" customFormat="false" ht="31.5" hidden="false" customHeight="true" outlineLevel="0" collapsed="false">
      <c r="A213" s="4" t="s">
        <v>782</v>
      </c>
      <c r="B213" s="4" t="s">
        <v>126</v>
      </c>
      <c r="C213" s="4" t="s">
        <v>782</v>
      </c>
      <c r="D213" s="4" t="s">
        <v>418</v>
      </c>
      <c r="E213" s="4" t="s">
        <v>235</v>
      </c>
    </row>
    <row r="214" customFormat="false" ht="31.5" hidden="false" customHeight="true" outlineLevel="0" collapsed="false">
      <c r="A214" s="6" t="s">
        <v>783</v>
      </c>
      <c r="B214" s="6" t="s">
        <v>126</v>
      </c>
      <c r="C214" s="6" t="s">
        <v>783</v>
      </c>
      <c r="D214" s="6" t="s">
        <v>418</v>
      </c>
      <c r="E214" s="6" t="s">
        <v>233</v>
      </c>
    </row>
    <row r="215" customFormat="false" ht="31.5" hidden="false" customHeight="true" outlineLevel="0" collapsed="false">
      <c r="A215" s="4" t="s">
        <v>784</v>
      </c>
      <c r="B215" s="4" t="s">
        <v>126</v>
      </c>
      <c r="C215" s="4" t="s">
        <v>784</v>
      </c>
      <c r="D215" s="4" t="s">
        <v>418</v>
      </c>
      <c r="E215" s="4" t="s">
        <v>236</v>
      </c>
    </row>
    <row r="216" customFormat="false" ht="31.5" hidden="false" customHeight="true" outlineLevel="0" collapsed="false">
      <c r="A216" s="6" t="s">
        <v>785</v>
      </c>
      <c r="B216" s="6" t="s">
        <v>126</v>
      </c>
      <c r="C216" s="6" t="s">
        <v>785</v>
      </c>
      <c r="D216" s="6" t="s">
        <v>418</v>
      </c>
      <c r="E216" s="6" t="s">
        <v>235</v>
      </c>
    </row>
    <row r="217" customFormat="false" ht="31.5" hidden="false" customHeight="true" outlineLevel="0" collapsed="false">
      <c r="A217" s="4" t="s">
        <v>786</v>
      </c>
      <c r="B217" s="4" t="s">
        <v>126</v>
      </c>
      <c r="C217" s="4" t="s">
        <v>786</v>
      </c>
      <c r="D217" s="4" t="s">
        <v>418</v>
      </c>
      <c r="E217" s="4" t="s">
        <v>233</v>
      </c>
    </row>
    <row r="218" customFormat="false" ht="31.5" hidden="false" customHeight="true" outlineLevel="0" collapsed="false">
      <c r="A218" s="6" t="s">
        <v>787</v>
      </c>
      <c r="B218" s="6" t="s">
        <v>126</v>
      </c>
      <c r="C218" s="6" t="s">
        <v>787</v>
      </c>
      <c r="D218" s="6" t="s">
        <v>418</v>
      </c>
      <c r="E218" s="6" t="s">
        <v>236</v>
      </c>
    </row>
    <row r="219" customFormat="false" ht="31.5" hidden="false" customHeight="true" outlineLevel="0" collapsed="false">
      <c r="A219" s="4" t="s">
        <v>788</v>
      </c>
      <c r="B219" s="4" t="s">
        <v>126</v>
      </c>
      <c r="C219" s="4" t="s">
        <v>788</v>
      </c>
      <c r="D219" s="4" t="s">
        <v>418</v>
      </c>
      <c r="E219" s="4" t="s">
        <v>235</v>
      </c>
    </row>
    <row r="220" customFormat="false" ht="31.5" hidden="false" customHeight="true" outlineLevel="0" collapsed="false">
      <c r="A220" s="6" t="s">
        <v>789</v>
      </c>
      <c r="B220" s="6" t="s">
        <v>126</v>
      </c>
      <c r="C220" s="6" t="s">
        <v>789</v>
      </c>
      <c r="D220" s="6" t="s">
        <v>418</v>
      </c>
      <c r="E220" s="6" t="s">
        <v>233</v>
      </c>
    </row>
    <row r="221" customFormat="false" ht="31.5" hidden="false" customHeight="true" outlineLevel="0" collapsed="false">
      <c r="A221" s="4" t="s">
        <v>790</v>
      </c>
      <c r="B221" s="4" t="s">
        <v>126</v>
      </c>
      <c r="C221" s="4" t="s">
        <v>790</v>
      </c>
      <c r="D221" s="4" t="s">
        <v>418</v>
      </c>
      <c r="E221" s="4" t="s">
        <v>236</v>
      </c>
    </row>
    <row r="222" customFormat="false" ht="31.5" hidden="false" customHeight="true" outlineLevel="0" collapsed="false">
      <c r="A222" s="6" t="s">
        <v>791</v>
      </c>
      <c r="B222" s="6" t="s">
        <v>126</v>
      </c>
      <c r="C222" s="6" t="s">
        <v>791</v>
      </c>
      <c r="D222" s="6" t="s">
        <v>418</v>
      </c>
      <c r="E222" s="6" t="s">
        <v>235</v>
      </c>
    </row>
    <row r="223" customFormat="false" ht="31.5" hidden="false" customHeight="true" outlineLevel="0" collapsed="false">
      <c r="A223" s="4" t="s">
        <v>792</v>
      </c>
      <c r="B223" s="4" t="s">
        <v>126</v>
      </c>
      <c r="C223" s="4" t="s">
        <v>792</v>
      </c>
      <c r="D223" s="4" t="s">
        <v>418</v>
      </c>
      <c r="E223" s="4" t="s">
        <v>233</v>
      </c>
    </row>
    <row r="224" customFormat="false" ht="31.5" hidden="false" customHeight="true" outlineLevel="0" collapsed="false">
      <c r="A224" s="6" t="s">
        <v>793</v>
      </c>
      <c r="B224" s="6" t="s">
        <v>126</v>
      </c>
      <c r="C224" s="6" t="s">
        <v>793</v>
      </c>
      <c r="D224" s="6" t="s">
        <v>418</v>
      </c>
      <c r="E224" s="6" t="s">
        <v>236</v>
      </c>
    </row>
    <row r="225" customFormat="false" ht="31.5" hidden="false" customHeight="true" outlineLevel="0" collapsed="false">
      <c r="A225" s="4" t="s">
        <v>794</v>
      </c>
      <c r="B225" s="4" t="s">
        <v>126</v>
      </c>
      <c r="C225" s="4" t="s">
        <v>794</v>
      </c>
      <c r="D225" s="4" t="s">
        <v>418</v>
      </c>
      <c r="E225" s="4" t="s">
        <v>235</v>
      </c>
    </row>
    <row r="226" customFormat="false" ht="31.5" hidden="false" customHeight="true" outlineLevel="0" collapsed="false">
      <c r="A226" s="6" t="s">
        <v>795</v>
      </c>
      <c r="B226" s="6" t="s">
        <v>126</v>
      </c>
      <c r="C226" s="6" t="s">
        <v>795</v>
      </c>
      <c r="D226" s="6" t="s">
        <v>418</v>
      </c>
      <c r="E226" s="6" t="s">
        <v>233</v>
      </c>
    </row>
  </sheetData>
  <autoFilter ref="A4:E226"/>
  <mergeCells count="2">
    <mergeCell ref="A1:E1"/>
    <mergeCell ref="A2:E2"/>
  </mergeCells>
  <printOptions headings="false" gridLines="false" gridLinesSet="true" horizontalCentered="tru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&amp;CAMR-01 A6 | &amp;P /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2026-09-21T12:06:41Z</dcterms:created>
  <dc:creator>amr-pj</dc:creator>
  <dc:description/>
  <dc:language>en-US</dc:language>
  <cp:lastModifiedBy/>
  <dcterms:modified xsi:type="dcterms:W3CDTF">2026-09-21T12:06:41Z</dcterms:modified>
  <cp:revision>0</cp:revision>
  <dc:subject>平地10kg・追加機械ブレーキなし</dc:subject>
  <dc:title>AMR-01 A6 BOM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